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glennthompson/Developer/karstgeo/03_realmodel/specfem_field_survey_generator_v1/inputs/spreadsheets/"/>
    </mc:Choice>
  </mc:AlternateContent>
  <xr:revisionPtr revIDLastSave="0" documentId="13_ncr:1_{8C65E48F-81CA-8E45-AE40-19B5263829E8}" xr6:coauthVersionLast="47" xr6:coauthVersionMax="47" xr10:uidLastSave="{00000000-0000-0000-0000-000000000000}"/>
  <bookViews>
    <workbookView xWindow="11980" yWindow="4960" windowWidth="83400" windowHeight="31540" activeTab="2" xr2:uid="{00000000-000D-0000-FFFF-FFFF00000000}"/>
  </bookViews>
  <sheets>
    <sheet name="README" sheetId="1" r:id="rId1"/>
    <sheet name="Geometry_Windows" sheetId="2" r:id="rId2"/>
    <sheet name="T1_N1_Geometry" sheetId="3" r:id="rId3"/>
    <sheet name="T1_N2_Geometry" sheetId="4" r:id="rId4"/>
    <sheet name="T3_N4_Geometry" sheetId="5" r:id="rId5"/>
    <sheet name="Combined_By_Window" sheetId="6" r:id="rId6"/>
    <sheet name="QC_Summary" sheetId="7" r:id="rId7"/>
    <sheet name="Serial_Lookup" sheetId="8" r:id="rId8"/>
    <sheet name="Geometry_Plot_Data" sheetId="9" r:id="rId9"/>
    <sheet name="Nodal_Special_Events" sheetId="10" r:id="rId10"/>
    <sheet name="T1_N1_Refraction" sheetId="12" r:id="rId11"/>
    <sheet name="T1_N2_Refraction" sheetId="13" r:id="rId12"/>
    <sheet name="Coordinate_Methodology" sheetId="1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13" l="1"/>
  <c r="A40" i="13"/>
  <c r="A41" i="13" s="1"/>
  <c r="A42" i="13" s="1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D4" i="13"/>
  <c r="D5" i="13" s="1"/>
  <c r="D6" i="13" s="1"/>
  <c r="D7" i="13" s="1"/>
  <c r="D8" i="13" s="1"/>
  <c r="D9" i="13" s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13" i="10"/>
  <c r="D12" i="10"/>
  <c r="D11" i="10"/>
  <c r="D10" i="10"/>
  <c r="D9" i="10"/>
  <c r="D8" i="10"/>
  <c r="D7" i="10"/>
  <c r="D6" i="10"/>
  <c r="D5" i="10"/>
  <c r="D4" i="10"/>
  <c r="D3" i="10"/>
  <c r="D2" i="10"/>
</calcChain>
</file>

<file path=xl/sharedStrings.xml><?xml version="1.0" encoding="utf-8"?>
<sst xmlns="http://schemas.openxmlformats.org/spreadsheetml/2006/main" count="1764" uniqueCount="242">
  <si>
    <t>event_id</t>
  </si>
  <si>
    <t>date</t>
  </si>
  <si>
    <t>local_time</t>
  </si>
  <si>
    <t>UTC</t>
  </si>
  <si>
    <t>transect</t>
  </si>
  <si>
    <t>geometry_window</t>
  </si>
  <si>
    <t>geometry</t>
  </si>
  <si>
    <t>source_position_m</t>
  </si>
  <si>
    <t>event_type</t>
  </si>
  <si>
    <t>shot_pattern</t>
  </si>
  <si>
    <t>total_blows</t>
  </si>
  <si>
    <t>notes</t>
  </si>
  <si>
    <t>source</t>
  </si>
  <si>
    <t>confidence</t>
  </si>
  <si>
    <t>review_status</t>
  </si>
  <si>
    <t>NODAL_WIN1</t>
  </si>
  <si>
    <t>T1</t>
  </si>
  <si>
    <t>survey1</t>
  </si>
  <si>
    <t>geometry window</t>
  </si>
  <si>
    <t>original T1 deployment</t>
  </si>
  <si>
    <t>SmartSolo conversion window 1</t>
  </si>
  <si>
    <t>Glenn notes/spreadsheet</t>
  </si>
  <si>
    <t>High</t>
  </si>
  <si>
    <t>OK</t>
  </si>
  <si>
    <t>NODAL_WIN2</t>
  </si>
  <si>
    <t>survey2</t>
  </si>
  <si>
    <t>densified T1 deployment</t>
  </si>
  <si>
    <t>SmartSolo conversion window 2</t>
  </si>
  <si>
    <t>TREEFALL</t>
  </si>
  <si>
    <t>transient/noise event</t>
  </si>
  <si>
    <t>treefall</t>
  </si>
  <si>
    <t>Tree base at 42.5 m; top/projection near 32.5 m; actual tree length ~12 m; filmed</t>
  </si>
  <si>
    <t>Glenn notes</t>
  </si>
  <si>
    <t>nodes started</t>
  </si>
  <si>
    <t>survey2 geometry</t>
  </si>
  <si>
    <t>Nodes initially same as nodal 2</t>
  </si>
  <si>
    <t>hammer stack</t>
  </si>
  <si>
    <t>Mike 10 + Glenn 10</t>
  </si>
  <si>
    <t>Sinkhole / middle location; exact coordinate to confirm</t>
  </si>
  <si>
    <t>Medium</t>
  </si>
  <si>
    <t>CHECK</t>
  </si>
  <si>
    <t>NODAL_D4_122</t>
  </si>
  <si>
    <t>Mike 10 + Matt 12 + Glenn 10</t>
  </si>
  <si>
    <t>Jochen cave-center estimate</t>
  </si>
  <si>
    <t>NODAL_D4_130</t>
  </si>
  <si>
    <t>Mike 10 + Matt 10 + Glenn 10</t>
  </si>
  <si>
    <t>Pati cave-center estimate</t>
  </si>
  <si>
    <t>NODAL_D4_216</t>
  </si>
  <si>
    <t>Longer-offset source location</t>
  </si>
  <si>
    <t>NODAL_WIN3</t>
  </si>
  <si>
    <t>return to original survey1 geometry</t>
  </si>
  <si>
    <t>SmartSolo conversion window 3; nine nodes moved back before this interval</t>
  </si>
  <si>
    <t>NODAL_D4_10</t>
  </si>
  <si>
    <t>(Mike 10 + Matt 10 + Glenn 10) x 2</t>
  </si>
  <si>
    <t>End-of-line high-stack shot</t>
  </si>
  <si>
    <t>NODAL_D4_290</t>
  </si>
  <si>
    <t>T3_START</t>
  </si>
  <si>
    <t>T3</t>
  </si>
  <si>
    <t>T3 eastern line</t>
  </si>
  <si>
    <t>line start</t>
  </si>
  <si>
    <t>begin eastern line</t>
  </si>
  <si>
    <t>Eastern line started</t>
  </si>
  <si>
    <t>Glenn notes/JB p20</t>
  </si>
  <si>
    <t>Some information repeated from Geomtry_Windows tab</t>
  </si>
  <si>
    <t>SmartSolo Nodal Metadata — Cleaned Workbook</t>
  </si>
  <si>
    <t>Purpose</t>
  </si>
  <si>
    <t>Cleaned and provenance-aware metadata tables for 36 SmartSolo nodal deployments.</t>
  </si>
  <si>
    <t>Source workbook</t>
  </si>
  <si>
    <t>seismic_node_survey_metadata.xlsx</t>
  </si>
  <si>
    <t>Created from</t>
  </si>
  <si>
    <t>survey1 and survey2 sheets plus field notes supplied in chat.</t>
  </si>
  <si>
    <t>Coordinate frame</t>
  </si>
  <si>
    <t>Linear position in metres along field tape, node order from north.</t>
  </si>
  <si>
    <t>Important convention</t>
  </si>
  <si>
    <t>Use normalized_serial_number for joining waveform traces to geometry, but preserve raw_serial_number for audit trail.</t>
  </si>
  <si>
    <t>Position methods</t>
  </si>
  <si>
    <t>measured = field measured; interpolated_linear = inferred between measured nodes; nominal_extrapolated = inferred from intended nominal spacing.</t>
  </si>
  <si>
    <t>Known serial QC</t>
  </si>
  <si>
    <t>survey2 raw serials 453912353 and 453001536 are preserved but normalized to likely intended serials 453012353 and 453012536.</t>
  </si>
  <si>
    <t>Open item</t>
  </si>
  <si>
    <t>Window 4 eastern-line serial-number-to-position metadata is still pending.</t>
  </si>
  <si>
    <t>window_id</t>
  </si>
  <si>
    <t>start_time_UTC</t>
  </si>
  <si>
    <t>end_time_UTC</t>
  </si>
  <si>
    <t>geometry_source</t>
  </si>
  <si>
    <t>line_or_transect</t>
  </si>
  <si>
    <t>description</t>
  </si>
  <si>
    <t>geometry_status</t>
  </si>
  <si>
    <t>Original Day 1 node geometry</t>
  </si>
  <si>
    <t>complete</t>
  </si>
  <si>
    <t>Original T1 geometry; Day 1 tape reference.</t>
  </si>
  <si>
    <t>Densified T1 geometry</t>
  </si>
  <si>
    <t>Selected nodes moved into central 104–140 m region; some positions measured against Day 2 tape.</t>
  </si>
  <si>
    <t>Return to original Day 1 geometry</t>
  </si>
  <si>
    <t>Nodes returned to survey1 geometry for long-aperture hammer shots.</t>
  </si>
  <si>
    <t>pending</t>
  </si>
  <si>
    <t>Eastern line / T2</t>
  </si>
  <si>
    <t>New eastern deployment line</t>
  </si>
  <si>
    <t>Serial-number positions not yet tabulated; one node used as shot-reference node.</t>
  </si>
  <si>
    <t>Survey1: Original T1 node geometry</t>
  </si>
  <si>
    <t>Estimated Coordinates</t>
  </si>
  <si>
    <t>node_from_north</t>
  </si>
  <si>
    <t>raw_tape_position_m</t>
  </si>
  <si>
    <t>adopted_position_m</t>
  </si>
  <si>
    <t>position_method</t>
  </si>
  <si>
    <t>raw_serial_number</t>
  </si>
  <si>
    <t>normalized_serial_number</t>
  </si>
  <si>
    <t>tape_reference</t>
  </si>
  <si>
    <t>raw_remarks</t>
  </si>
  <si>
    <t>position_notes</t>
  </si>
  <si>
    <t>serial_qc_flag</t>
  </si>
  <si>
    <t>latitude</t>
  </si>
  <si>
    <t>longitude</t>
  </si>
  <si>
    <t>nominal_extrapolated</t>
  </si>
  <si>
    <t>453020358</t>
  </si>
  <si>
    <t>Day 1 tape</t>
  </si>
  <si>
    <t>nominal 8 m extrapolation from nearest measured node</t>
  </si>
  <si>
    <t>position estimated, not field-measured</t>
  </si>
  <si>
    <t>measured</t>
  </si>
  <si>
    <t>453012320</t>
  </si>
  <si>
    <t>453019115</t>
  </si>
  <si>
    <t>453014357</t>
  </si>
  <si>
    <t>453013396</t>
  </si>
  <si>
    <t>453013783</t>
  </si>
  <si>
    <t>453012683</t>
  </si>
  <si>
    <t>interpolated_linear</t>
  </si>
  <si>
    <t>453013322</t>
  </si>
  <si>
    <t>interpolated between node_from_north 6 and 10</t>
  </si>
  <si>
    <t>453020406</t>
  </si>
  <si>
    <t>453012150</t>
  </si>
  <si>
    <t>453012246</t>
  </si>
  <si>
    <t>453011708</t>
  </si>
  <si>
    <t>interpolated between node_from_north 10 and 12</t>
  </si>
  <si>
    <t>453012806</t>
  </si>
  <si>
    <t>453012353</t>
  </si>
  <si>
    <t>453005764</t>
  </si>
  <si>
    <t>453012143</t>
  </si>
  <si>
    <t>453013230</t>
  </si>
  <si>
    <t>453012536</t>
  </si>
  <si>
    <t>453014233</t>
  </si>
  <si>
    <t>453019414</t>
  </si>
  <si>
    <t>453013851</t>
  </si>
  <si>
    <t>453011953</t>
  </si>
  <si>
    <t>453011986</t>
  </si>
  <si>
    <t>453005726</t>
  </si>
  <si>
    <t>453013060</t>
  </si>
  <si>
    <t>453020221</t>
  </si>
  <si>
    <t>453012828</t>
  </si>
  <si>
    <t>453013593</t>
  </si>
  <si>
    <t>453012727</t>
  </si>
  <si>
    <t>453013692</t>
  </si>
  <si>
    <t>453012800</t>
  </si>
  <si>
    <t>453012795</t>
  </si>
  <si>
    <t>453013425</t>
  </si>
  <si>
    <t>453014060</t>
  </si>
  <si>
    <t>453011990</t>
  </si>
  <si>
    <t>454013828</t>
  </si>
  <si>
    <t>Survey2: Densified T1 node geometry</t>
  </si>
  <si>
    <t>survey1_position_m</t>
  </si>
  <si>
    <t>delta_from_survey1_m</t>
  </si>
  <si>
    <t>moved_from_survey1</t>
  </si>
  <si>
    <t>Day 2 tape for remeasured/red rows; otherwise Day 1-derived positions</t>
  </si>
  <si>
    <t>no/within tape uncertainty</t>
  </si>
  <si>
    <t>interpolated between node_from_north 1 and 5</t>
  </si>
  <si>
    <t>interpolated between node_from_north 5 and 7</t>
  </si>
  <si>
    <t>453912353</t>
  </si>
  <si>
    <t>next to green flag</t>
  </si>
  <si>
    <t>raw serial not found in survey1; normalized as likely digit typo</t>
  </si>
  <si>
    <t>yes</t>
  </si>
  <si>
    <t>next to orange flag 110m</t>
  </si>
  <si>
    <t>453001536</t>
  </si>
  <si>
    <t>next to orange flag 120m</t>
  </si>
  <si>
    <t>next to yellow flag</t>
  </si>
  <si>
    <t>node_position_m</t>
  </si>
  <si>
    <t>shot_position_before_m</t>
  </si>
  <si>
    <t>shot_position_after_m</t>
  </si>
  <si>
    <t>serial_number</t>
  </si>
  <si>
    <t>role</t>
  </si>
  <si>
    <t>fixed SmartSolo node</t>
  </si>
  <si>
    <t>roving</t>
  </si>
  <si>
    <t>roving timing node</t>
  </si>
  <si>
    <t>serial number ended in 2806; placed near each shot plate with ~40-70 cm lateral offset</t>
  </si>
  <si>
    <t>marker</t>
  </si>
  <si>
    <t>photo alignment marker</t>
  </si>
  <si>
    <t>node serial number ending in 764 located at 40.5 m</t>
  </si>
  <si>
    <t>start_time</t>
  </si>
  <si>
    <t>end_time</t>
  </si>
  <si>
    <t>position_m</t>
  </si>
  <si>
    <t>geometry_notes</t>
  </si>
  <si>
    <t>qc_flag</t>
  </si>
  <si>
    <t>Original T1 geometry</t>
  </si>
  <si>
    <t>mixed/see Survey2_Clean</t>
  </si>
  <si>
    <t>Return to original T1 geometry</t>
  </si>
  <si>
    <t>Serial-number-to-position table not yet finalized</t>
  </si>
  <si>
    <t>pending geometry</t>
  </si>
  <si>
    <t>check</t>
  </si>
  <si>
    <t>count</t>
  </si>
  <si>
    <t>details</t>
  </si>
  <si>
    <t>Survey1 estimated positions</t>
  </si>
  <si>
    <t>node 0→28.0m, node 7→80.025m, node 8→84.05m, node 9→88.075m, node 11→96.05m</t>
  </si>
  <si>
    <t>Survey2 estimated positions</t>
  </si>
  <si>
    <t>node 2→80.025m, node 3→84.05m, node 4→88.075m, node 6→96.05m</t>
  </si>
  <si>
    <t>Survey2 serial QC flags</t>
  </si>
  <si>
    <t>raw 453912353 normalized 453012353; raw 453001536 normalized 453012536</t>
  </si>
  <si>
    <t>Survey2 nodes moved from survey1 position (&gt;0.25 m)</t>
  </si>
  <si>
    <t>453011990: 208.0→106.03m (Δ=-101.97m); 453013396: 60.04→110.05m (Δ=50.01m); 453014357: 52.07→114.0m (Δ=61.93m); 453014060: 200.0→117.97m (Δ=-82.03m); 453019115: 44.0→122.04m (Δ=78.04m); 453012320: 36.0→126.38m (Δ=90.38m); 453020358: 28.0→129.96m (Δ=101.96m); 453013425: 192.0→134.02m (Δ=-57.98m); 454013828: 216.0→137.82m (Δ=-78.18m)</t>
  </si>
  <si>
    <t>Pending eastern line metadata</t>
  </si>
  <si>
    <t>Window 4 positions and serial map still need to be added.</t>
  </si>
  <si>
    <t>survey1_node</t>
  </si>
  <si>
    <t>survey2_node</t>
  </si>
  <si>
    <t>survey2_position_m</t>
  </si>
  <si>
    <t>survey2_delta_m</t>
  </si>
  <si>
    <t>survey2_status</t>
  </si>
  <si>
    <t>Estimated coordinates for T1 nodal geometries</t>
  </si>
  <si>
    <t>Assumptions</t>
  </si>
  <si>
    <t>0-m tape position latitude</t>
  </si>
  <si>
    <t>0-m tape position longitude</t>
  </si>
  <si>
    <t>Line orientation</t>
  </si>
  <si>
    <t>Assumed due North-South</t>
  </si>
  <si>
    <t>Coordinate source</t>
  </si>
  <si>
    <t>Tape positions used as authoritative geometry</t>
  </si>
  <si>
    <t>Latitude calculation</t>
  </si>
  <si>
    <t>lat = lat0 - distance_m/111320</t>
  </si>
  <si>
    <t>Longitude calculation</t>
  </si>
  <si>
    <t>lon = constant</t>
  </si>
  <si>
    <t>Notes</t>
  </si>
  <si>
    <t>These coordinates are approximate and intended for mapping/metadata. Relative tape-measure geometry is considered more reliable than SmartSolo GPS positions for 1–8 m node spacing.</t>
  </si>
  <si>
    <t>NODAL_D4_36</t>
  </si>
  <si>
    <t>NODAL_D4_SINKHOLE_MIDDLE</t>
  </si>
  <si>
    <t>shot_no</t>
  </si>
  <si>
    <t>survey</t>
  </si>
  <si>
    <t>receiver_first_m</t>
  </si>
  <si>
    <t>receiver_last_m</t>
  </si>
  <si>
    <t>n_blows</t>
  </si>
  <si>
    <t>operator</t>
  </si>
  <si>
    <t>plate_type</t>
  </si>
  <si>
    <t>plastic</t>
  </si>
  <si>
    <t>metal</t>
  </si>
  <si>
    <t>T1_N1_Geometry</t>
  </si>
  <si>
    <t>T1_N2_Geometry</t>
  </si>
  <si>
    <t>we switched to 10 n_blows at some point</t>
  </si>
  <si>
    <t>actual shot location is middle of sinkhole, but I don't know exactly where that was - probably 110-114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</si>
</sst>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"/>
    <numFmt numFmtId="165" formatCode="0.000"/>
    <numFmt numFmtId="166" formatCode="[$-F400]h:mm:ss\ AM/PM"/>
    <numFmt numFmtId="167" formatCode="yyyy\-mm\-dd;@"/>
  </numFmts>
  <fonts count="7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1"/>
      <color theme="1"/>
      <name val="Carlito"/>
    </font>
    <font>
      <sz val="11"/>
      <color rgb="FF00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1F4E78"/>
        <bgColor rgb="FF000000"/>
      </patternFill>
    </fill>
    <fill>
      <patternFill patternType="solid">
        <fgColor rgb="FFC0E6F5"/>
        <bgColor rgb="FFC0E6F5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/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/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4" fillId="2" borderId="0" xfId="0" applyFont="1" applyFill="1" applyAlignment="1">
      <alignment horizont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0" fontId="3" fillId="4" borderId="0" xfId="0" applyFont="1" applyFill="1" applyAlignment="1">
      <alignment horizontal="center" vertical="center" wrapText="1"/>
    </xf>
    <xf numFmtId="166" fontId="3" fillId="4" borderId="0" xfId="0" applyNumberFormat="1" applyFont="1" applyFill="1" applyAlignment="1">
      <alignment horizontal="center" vertical="center" wrapText="1"/>
    </xf>
    <xf numFmtId="167" fontId="3" fillId="4" borderId="0" xfId="0" applyNumberFormat="1" applyFont="1" applyFill="1" applyAlignment="1">
      <alignment horizontal="center" vertical="center" wrapText="1"/>
    </xf>
    <xf numFmtId="0" fontId="5" fillId="5" borderId="1" xfId="0" applyFont="1" applyFill="1" applyBorder="1"/>
    <xf numFmtId="0" fontId="1" fillId="2" borderId="0" xfId="0" applyFont="1" applyFill="1" applyAlignment="1">
      <alignment horizontal="center" wrapText="1"/>
    </xf>
    <xf numFmtId="0" fontId="0" fillId="0" borderId="0" xfId="0"/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3" fillId="6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alignment horizontal="general" vertical="bottom" wrapText="1"/>
    </dxf>
    <dxf>
      <numFmt numFmtId="166" formatCode="[$-F400]h:mm:ss\ AM/PM"/>
      <alignment horizontal="general" vertical="bottom" wrapText="1"/>
    </dxf>
    <dxf>
      <numFmt numFmtId="166" formatCode="[$-F400]h:mm:ss\ AM/PM"/>
    </dxf>
    <dxf>
      <numFmt numFmtId="167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Adopted node positions by geometry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Geometry_Plot_Data!$A$2:$A$37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Geometry_Plot_Data!$B$2:$B$37</c:f>
              <c:numCache>
                <c:formatCode>General</c:formatCode>
                <c:ptCount val="36"/>
                <c:pt idx="0">
                  <c:v>28</c:v>
                </c:pt>
                <c:pt idx="1">
                  <c:v>36</c:v>
                </c:pt>
                <c:pt idx="2">
                  <c:v>44</c:v>
                </c:pt>
                <c:pt idx="3">
                  <c:v>52.07</c:v>
                </c:pt>
                <c:pt idx="4">
                  <c:v>60.04</c:v>
                </c:pt>
                <c:pt idx="5">
                  <c:v>68.09</c:v>
                </c:pt>
                <c:pt idx="6">
                  <c:v>76</c:v>
                </c:pt>
                <c:pt idx="7">
                  <c:v>80.025000000000006</c:v>
                </c:pt>
                <c:pt idx="8">
                  <c:v>84.05</c:v>
                </c:pt>
                <c:pt idx="9">
                  <c:v>88.075000000000003</c:v>
                </c:pt>
                <c:pt idx="10">
                  <c:v>92.1</c:v>
                </c:pt>
                <c:pt idx="11">
                  <c:v>96.05</c:v>
                </c:pt>
                <c:pt idx="12">
                  <c:v>100</c:v>
                </c:pt>
                <c:pt idx="13">
                  <c:v>103.98</c:v>
                </c:pt>
                <c:pt idx="14">
                  <c:v>108</c:v>
                </c:pt>
                <c:pt idx="15">
                  <c:v>112.02</c:v>
                </c:pt>
                <c:pt idx="16">
                  <c:v>116</c:v>
                </c:pt>
                <c:pt idx="17">
                  <c:v>120.05</c:v>
                </c:pt>
                <c:pt idx="18">
                  <c:v>124.02</c:v>
                </c:pt>
                <c:pt idx="19">
                  <c:v>128.01</c:v>
                </c:pt>
                <c:pt idx="20">
                  <c:v>132.02000000000001</c:v>
                </c:pt>
                <c:pt idx="21">
                  <c:v>136.05000000000001</c:v>
                </c:pt>
                <c:pt idx="22">
                  <c:v>140</c:v>
                </c:pt>
                <c:pt idx="23">
                  <c:v>144</c:v>
                </c:pt>
                <c:pt idx="24">
                  <c:v>148</c:v>
                </c:pt>
                <c:pt idx="25">
                  <c:v>151.94999999999999</c:v>
                </c:pt>
                <c:pt idx="26">
                  <c:v>155.96</c:v>
                </c:pt>
                <c:pt idx="27">
                  <c:v>160</c:v>
                </c:pt>
                <c:pt idx="28">
                  <c:v>164</c:v>
                </c:pt>
                <c:pt idx="29">
                  <c:v>168.09</c:v>
                </c:pt>
                <c:pt idx="30">
                  <c:v>176.04</c:v>
                </c:pt>
                <c:pt idx="31">
                  <c:v>184.05</c:v>
                </c:pt>
                <c:pt idx="32">
                  <c:v>192</c:v>
                </c:pt>
                <c:pt idx="33">
                  <c:v>200</c:v>
                </c:pt>
                <c:pt idx="34">
                  <c:v>208</c:v>
                </c:pt>
                <c:pt idx="35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F-7D44-BEA5-CE0E99FED70A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numRef>
              <c:f>Geometry_Plot_Data!$A$2:$A$37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Geometry_Plot_Data!$C$2:$C$37</c:f>
              <c:numCache>
                <c:formatCode>General</c:formatCode>
                <c:ptCount val="36"/>
                <c:pt idx="0">
                  <c:v>68.09</c:v>
                </c:pt>
                <c:pt idx="1">
                  <c:v>76</c:v>
                </c:pt>
                <c:pt idx="2">
                  <c:v>80.025000000000006</c:v>
                </c:pt>
                <c:pt idx="3">
                  <c:v>84.05</c:v>
                </c:pt>
                <c:pt idx="4">
                  <c:v>88.075000000000003</c:v>
                </c:pt>
                <c:pt idx="5">
                  <c:v>92.1</c:v>
                </c:pt>
                <c:pt idx="6">
                  <c:v>96.05</c:v>
                </c:pt>
                <c:pt idx="7">
                  <c:v>100</c:v>
                </c:pt>
                <c:pt idx="8">
                  <c:v>104.08</c:v>
                </c:pt>
                <c:pt idx="9">
                  <c:v>106.03</c:v>
                </c:pt>
                <c:pt idx="10">
                  <c:v>108.14</c:v>
                </c:pt>
                <c:pt idx="11">
                  <c:v>110.05</c:v>
                </c:pt>
                <c:pt idx="12">
                  <c:v>112.15</c:v>
                </c:pt>
                <c:pt idx="13">
                  <c:v>114</c:v>
                </c:pt>
                <c:pt idx="14">
                  <c:v>116.11</c:v>
                </c:pt>
                <c:pt idx="15">
                  <c:v>117.97</c:v>
                </c:pt>
                <c:pt idx="16">
                  <c:v>120.18</c:v>
                </c:pt>
                <c:pt idx="17">
                  <c:v>122.04</c:v>
                </c:pt>
                <c:pt idx="18">
                  <c:v>124.13</c:v>
                </c:pt>
                <c:pt idx="19">
                  <c:v>126.38</c:v>
                </c:pt>
                <c:pt idx="20">
                  <c:v>128.15</c:v>
                </c:pt>
                <c:pt idx="21">
                  <c:v>129.96</c:v>
                </c:pt>
                <c:pt idx="22">
                  <c:v>132.16</c:v>
                </c:pt>
                <c:pt idx="23">
                  <c:v>134.02000000000001</c:v>
                </c:pt>
                <c:pt idx="24">
                  <c:v>136.19999999999999</c:v>
                </c:pt>
                <c:pt idx="25">
                  <c:v>137.82</c:v>
                </c:pt>
                <c:pt idx="26">
                  <c:v>140</c:v>
                </c:pt>
                <c:pt idx="27">
                  <c:v>144</c:v>
                </c:pt>
                <c:pt idx="28">
                  <c:v>148</c:v>
                </c:pt>
                <c:pt idx="29">
                  <c:v>151.94999999999999</c:v>
                </c:pt>
                <c:pt idx="30">
                  <c:v>155.96</c:v>
                </c:pt>
                <c:pt idx="31">
                  <c:v>160</c:v>
                </c:pt>
                <c:pt idx="32">
                  <c:v>164</c:v>
                </c:pt>
                <c:pt idx="33">
                  <c:v>168.09</c:v>
                </c:pt>
                <c:pt idx="34">
                  <c:v>176.04</c:v>
                </c:pt>
                <c:pt idx="35">
                  <c:v>184.05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0F-7D44-BEA5-CE0E99FED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ometryWindowsTable" displayName="GeometryWindowsTable" ref="A1:H5">
  <tableColumns count="8">
    <tableColumn id="1" xr3:uid="{00000000-0010-0000-0000-000001000000}" name="window_id"/>
    <tableColumn id="2" xr3:uid="{00000000-0010-0000-0000-000002000000}" name="start_time_UTC"/>
    <tableColumn id="3" xr3:uid="{00000000-0010-0000-0000-000003000000}" name="end_time_UTC"/>
    <tableColumn id="4" xr3:uid="{00000000-0010-0000-0000-000004000000}" name="geometry_source"/>
    <tableColumn id="5" xr3:uid="{00000000-0010-0000-0000-000005000000}" name="line_or_transect"/>
    <tableColumn id="6" xr3:uid="{00000000-0010-0000-0000-000006000000}" name="description"/>
    <tableColumn id="7" xr3:uid="{00000000-0010-0000-0000-000007000000}" name="geometry_status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rvey1_CleanTable" displayName="Survey1_CleanTable" ref="A2:J38">
  <tableColumns count="10">
    <tableColumn id="1" xr3:uid="{00000000-0010-0000-0100-000001000000}" name="node_from_north"/>
    <tableColumn id="2" xr3:uid="{00000000-0010-0000-0100-000002000000}" name="raw_tape_position_m"/>
    <tableColumn id="3" xr3:uid="{00000000-0010-0000-0100-000003000000}" name="adopted_position_m"/>
    <tableColumn id="4" xr3:uid="{00000000-0010-0000-0100-000004000000}" name="position_method"/>
    <tableColumn id="5" xr3:uid="{00000000-0010-0000-0100-000005000000}" name="raw_serial_number"/>
    <tableColumn id="6" xr3:uid="{00000000-0010-0000-0100-000006000000}" name="normalized_serial_number"/>
    <tableColumn id="7" xr3:uid="{00000000-0010-0000-0100-000007000000}" name="tape_reference"/>
    <tableColumn id="8" xr3:uid="{00000000-0010-0000-0100-000008000000}" name="raw_remarks"/>
    <tableColumn id="9" xr3:uid="{00000000-0010-0000-0100-000009000000}" name="position_notes"/>
    <tableColumn id="10" xr3:uid="{00000000-0010-0000-0100-00000A000000}" name="serial_qc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rvey2_CleanTable" displayName="Survey2_CleanTable" ref="A2:M38">
  <tableColumns count="13">
    <tableColumn id="1" xr3:uid="{00000000-0010-0000-0200-000001000000}" name="node_from_north"/>
    <tableColumn id="2" xr3:uid="{00000000-0010-0000-0200-000002000000}" name="raw_tape_position_m"/>
    <tableColumn id="3" xr3:uid="{00000000-0010-0000-0200-000003000000}" name="adopted_position_m"/>
    <tableColumn id="4" xr3:uid="{00000000-0010-0000-0200-000004000000}" name="position_method"/>
    <tableColumn id="5" xr3:uid="{00000000-0010-0000-0200-000005000000}" name="raw_serial_number"/>
    <tableColumn id="6" xr3:uid="{00000000-0010-0000-0200-000006000000}" name="normalized_serial_number"/>
    <tableColumn id="7" xr3:uid="{00000000-0010-0000-0200-000007000000}" name="tape_reference"/>
    <tableColumn id="8" xr3:uid="{00000000-0010-0000-0200-000008000000}" name="raw_remarks"/>
    <tableColumn id="9" xr3:uid="{00000000-0010-0000-0200-000009000000}" name="position_notes"/>
    <tableColumn id="10" xr3:uid="{00000000-0010-0000-0200-00000A000000}" name="serial_qc_flag"/>
    <tableColumn id="11" xr3:uid="{00000000-0010-0000-0200-00000B000000}" name="survey1_position_m"/>
    <tableColumn id="12" xr3:uid="{00000000-0010-0000-0200-00000C000000}" name="delta_from_survey1_m"/>
    <tableColumn id="13" xr3:uid="{00000000-0010-0000-0200-00000D000000}" name="moved_from_survey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3NodalGeometry" displayName="T3NodalGeometry" ref="A1:J38">
  <tableColumns count="10">
    <tableColumn id="1" xr3:uid="{00000000-0010-0000-0300-000001000000}" name="node_from_north"/>
    <tableColumn id="2" xr3:uid="{00000000-0010-0000-0300-000002000000}" name="transect"/>
    <tableColumn id="3" xr3:uid="{00000000-0010-0000-0300-000003000000}" name="node_position_m"/>
    <tableColumn id="4" xr3:uid="{00000000-0010-0000-0300-000004000000}" name="shot_position_before_m"/>
    <tableColumn id="5" xr3:uid="{00000000-0010-0000-0300-000005000000}" name="shot_position_after_m"/>
    <tableColumn id="10" xr3:uid="{00000000-0010-0000-0300-00000A000000}" name="serial_number" dataDxfId="7"/>
    <tableColumn id="6" xr3:uid="{00000000-0010-0000-0300-000006000000}" name="role"/>
    <tableColumn id="7" xr3:uid="{00000000-0010-0000-0300-000007000000}" name="notes"/>
    <tableColumn id="8" xr3:uid="{00000000-0010-0000-0300-000008000000}" name="confidence"/>
    <tableColumn id="9" xr3:uid="{00000000-0010-0000-0300-000009000000}" name="review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mbinedWindowMetadataTable" displayName="CombinedWindowMetadataTable" ref="A1:M110">
  <tableColumns count="13">
    <tableColumn id="1" xr3:uid="{00000000-0010-0000-0400-000001000000}" name="window_id"/>
    <tableColumn id="2" xr3:uid="{00000000-0010-0000-0400-000002000000}" name="start_time"/>
    <tableColumn id="3" xr3:uid="{00000000-0010-0000-0400-000003000000}" name="end_time"/>
    <tableColumn id="4" xr3:uid="{00000000-0010-0000-0400-000004000000}" name="line_or_transect"/>
    <tableColumn id="5" xr3:uid="{00000000-0010-0000-0400-000005000000}" name="geometry_source"/>
    <tableColumn id="6" xr3:uid="{00000000-0010-0000-0400-000006000000}" name="node_from_north"/>
    <tableColumn id="7" xr3:uid="{00000000-0010-0000-0400-000007000000}" name="raw_serial_number"/>
    <tableColumn id="8" xr3:uid="{00000000-0010-0000-0400-000008000000}" name="normalized_serial_number"/>
    <tableColumn id="9" xr3:uid="{00000000-0010-0000-0400-000009000000}" name="position_m"/>
    <tableColumn id="10" xr3:uid="{00000000-0010-0000-0400-00000A000000}" name="position_method"/>
    <tableColumn id="11" xr3:uid="{00000000-0010-0000-0400-00000B000000}" name="tape_reference"/>
    <tableColumn id="12" xr3:uid="{00000000-0010-0000-0400-00000C000000}" name="geometry_notes"/>
    <tableColumn id="13" xr3:uid="{00000000-0010-0000-0400-00000D000000}" name="qc_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CSummaryTable" displayName="QCSummaryTable" ref="A1:C6">
  <tableColumns count="3">
    <tableColumn id="1" xr3:uid="{00000000-0010-0000-0500-000001000000}" name="check"/>
    <tableColumn id="2" xr3:uid="{00000000-0010-0000-0500-000002000000}" name="count"/>
    <tableColumn id="3" xr3:uid="{00000000-0010-0000-0500-000003000000}" name="detail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erialLookupTable" displayName="SerialLookupTable" ref="A1:G37">
  <tableColumns count="7">
    <tableColumn id="1" xr3:uid="{00000000-0010-0000-0600-000001000000}" name="normalized_serial_number"/>
    <tableColumn id="2" xr3:uid="{00000000-0010-0000-0600-000002000000}" name="survey1_node"/>
    <tableColumn id="3" xr3:uid="{00000000-0010-0000-0600-000003000000}" name="survey1_position_m"/>
    <tableColumn id="4" xr3:uid="{00000000-0010-0000-0600-000004000000}" name="survey2_node"/>
    <tableColumn id="5" xr3:uid="{00000000-0010-0000-0600-000005000000}" name="survey2_position_m"/>
    <tableColumn id="6" xr3:uid="{00000000-0010-0000-0600-000006000000}" name="survey2_delta_m"/>
    <tableColumn id="7" xr3:uid="{00000000-0010-0000-0600-000007000000}" name="survey2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GeometryPlotDataTable" displayName="GeometryPlotDataTable" ref="A1:C37">
  <tableColumns count="3">
    <tableColumn id="1" xr3:uid="{00000000-0010-0000-0700-000001000000}" name="node_from_north"/>
    <tableColumn id="2" xr3:uid="{00000000-0010-0000-0700-000002000000}" name="survey1_position_m"/>
    <tableColumn id="3" xr3:uid="{00000000-0010-0000-0700-000003000000}" name="survey2_position_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NodalEvents" displayName="NodalEvents" ref="A1:O13">
  <tableColumns count="15">
    <tableColumn id="1" xr3:uid="{00000000-0010-0000-0800-000001000000}" name="event_id"/>
    <tableColumn id="2" xr3:uid="{00000000-0010-0000-0800-000002000000}" name="date" dataDxfId="10"/>
    <tableColumn id="3" xr3:uid="{00000000-0010-0000-0800-000003000000}" name="local_time" dataDxfId="9"/>
    <tableColumn id="15" xr3:uid="{00000000-0010-0000-0800-00000F000000}" name="UTC" dataDxfId="8">
      <calculatedColumnFormula>C2+4/24</calculatedColumnFormula>
    </tableColumn>
    <tableColumn id="4" xr3:uid="{00000000-0010-0000-0800-000004000000}" name="transect"/>
    <tableColumn id="5" xr3:uid="{00000000-0010-0000-0800-000005000000}" name="geometry_window"/>
    <tableColumn id="6" xr3:uid="{00000000-0010-0000-0800-000006000000}" name="geometry"/>
    <tableColumn id="7" xr3:uid="{00000000-0010-0000-0800-000007000000}" name="source_position_m"/>
    <tableColumn id="8" xr3:uid="{00000000-0010-0000-0800-000008000000}" name="event_type"/>
    <tableColumn id="9" xr3:uid="{00000000-0010-0000-0800-000009000000}" name="shot_pattern"/>
    <tableColumn id="10" xr3:uid="{00000000-0010-0000-0800-00000A000000}" name="total_blows"/>
    <tableColumn id="11" xr3:uid="{00000000-0010-0000-0800-00000B000000}" name="notes"/>
    <tableColumn id="12" xr3:uid="{00000000-0010-0000-0800-00000C000000}" name="source"/>
    <tableColumn id="13" xr3:uid="{00000000-0010-0000-0800-00000D000000}" name="confidence"/>
    <tableColumn id="14" xr3:uid="{00000000-0010-0000-0800-00000E000000}" name="review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sqref="A1:H1"/>
    </sheetView>
  </sheetViews>
  <sheetFormatPr baseColWidth="10" defaultColWidth="8.83203125" defaultRowHeight="14"/>
  <cols>
    <col min="1" max="1" width="24" customWidth="1"/>
    <col min="2" max="2" width="90" customWidth="1"/>
  </cols>
  <sheetData>
    <row r="1" spans="1:8" ht="15" customHeight="1">
      <c r="A1" s="16" t="s">
        <v>64</v>
      </c>
      <c r="B1" s="17"/>
      <c r="C1" s="17"/>
      <c r="D1" s="17"/>
      <c r="E1" s="17"/>
      <c r="F1" s="17"/>
      <c r="G1" s="17"/>
      <c r="H1" s="17"/>
    </row>
    <row r="3" spans="1:8" ht="15" customHeight="1">
      <c r="A3" s="1" t="s">
        <v>65</v>
      </c>
      <c r="B3" t="s">
        <v>66</v>
      </c>
    </row>
    <row r="4" spans="1:8" ht="15" customHeight="1">
      <c r="A4" s="1" t="s">
        <v>67</v>
      </c>
      <c r="B4" t="s">
        <v>68</v>
      </c>
    </row>
    <row r="5" spans="1:8" ht="15" customHeight="1">
      <c r="A5" s="1" t="s">
        <v>69</v>
      </c>
      <c r="B5" t="s">
        <v>70</v>
      </c>
    </row>
    <row r="6" spans="1:8" ht="15" customHeight="1">
      <c r="A6" s="1" t="s">
        <v>71</v>
      </c>
      <c r="B6" t="s">
        <v>72</v>
      </c>
    </row>
    <row r="7" spans="1:8" ht="15" customHeight="1">
      <c r="A7" s="1" t="s">
        <v>73</v>
      </c>
      <c r="B7" t="s">
        <v>74</v>
      </c>
    </row>
    <row r="8" spans="1:8" ht="15" customHeight="1">
      <c r="A8" s="1" t="s">
        <v>75</v>
      </c>
      <c r="B8" t="s">
        <v>76</v>
      </c>
    </row>
    <row r="9" spans="1:8" ht="15" customHeight="1">
      <c r="A9" s="1" t="s">
        <v>77</v>
      </c>
      <c r="B9" t="s">
        <v>78</v>
      </c>
    </row>
    <row r="10" spans="1:8" ht="15" customHeight="1">
      <c r="A10" s="1" t="s">
        <v>79</v>
      </c>
      <c r="B10" t="s">
        <v>80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F19" sqref="F19"/>
    </sheetView>
  </sheetViews>
  <sheetFormatPr baseColWidth="10" defaultColWidth="8.83203125" defaultRowHeight="14"/>
  <cols>
    <col min="1" max="1" width="10" customWidth="1"/>
    <col min="2" max="3" width="20" customWidth="1"/>
    <col min="4" max="5" width="18" customWidth="1"/>
    <col min="6" max="6" width="32" customWidth="1"/>
    <col min="7" max="7" width="16" customWidth="1"/>
    <col min="8" max="8" width="60" customWidth="1"/>
  </cols>
  <sheetData>
    <row r="1" spans="1:8" ht="32" customHeight="1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11</v>
      </c>
    </row>
    <row r="2" spans="1:8">
      <c r="A2">
        <v>1</v>
      </c>
      <c r="B2" s="3">
        <v>46158</v>
      </c>
      <c r="C2" s="3">
        <v>46159.666666666657</v>
      </c>
      <c r="D2" t="s">
        <v>17</v>
      </c>
      <c r="E2" t="s">
        <v>16</v>
      </c>
      <c r="F2" t="s">
        <v>88</v>
      </c>
      <c r="G2" t="s">
        <v>89</v>
      </c>
      <c r="H2" t="s">
        <v>90</v>
      </c>
    </row>
    <row r="3" spans="1:8">
      <c r="A3">
        <v>2</v>
      </c>
      <c r="B3" s="3">
        <v>46159.666666666657</v>
      </c>
      <c r="C3" s="3">
        <v>46161.555555555547</v>
      </c>
      <c r="D3" t="s">
        <v>25</v>
      </c>
      <c r="E3" t="s">
        <v>16</v>
      </c>
      <c r="F3" t="s">
        <v>91</v>
      </c>
      <c r="G3" t="s">
        <v>89</v>
      </c>
      <c r="H3" t="s">
        <v>92</v>
      </c>
    </row>
    <row r="4" spans="1:8">
      <c r="A4">
        <v>3</v>
      </c>
      <c r="B4" s="3">
        <v>46161.555555555547</v>
      </c>
      <c r="C4" s="3">
        <v>46161.625</v>
      </c>
      <c r="D4" t="s">
        <v>17</v>
      </c>
      <c r="E4" t="s">
        <v>16</v>
      </c>
      <c r="F4" t="s">
        <v>93</v>
      </c>
      <c r="G4" t="s">
        <v>89</v>
      </c>
      <c r="H4" t="s">
        <v>94</v>
      </c>
    </row>
    <row r="5" spans="1:8">
      <c r="A5">
        <v>4</v>
      </c>
      <c r="B5" s="3">
        <v>46161.625</v>
      </c>
      <c r="C5" s="3">
        <v>46161.767361111109</v>
      </c>
      <c r="D5" t="s">
        <v>95</v>
      </c>
      <c r="E5" t="s">
        <v>57</v>
      </c>
      <c r="F5" t="s">
        <v>97</v>
      </c>
      <c r="G5" t="s">
        <v>95</v>
      </c>
      <c r="H5" t="s">
        <v>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"/>
  <sheetViews>
    <sheetView tabSelected="1" workbookViewId="0">
      <selection activeCell="G74" sqref="G74"/>
    </sheetView>
  </sheetViews>
  <sheetFormatPr baseColWidth="10" defaultColWidth="8.83203125" defaultRowHeight="14"/>
  <cols>
    <col min="1" max="1" width="14" customWidth="1"/>
    <col min="2" max="3" width="16" customWidth="1"/>
    <col min="4" max="4" width="20" customWidth="1"/>
    <col min="5" max="5" width="18" customWidth="1"/>
    <col min="6" max="6" width="22" customWidth="1"/>
    <col min="7" max="7" width="16" customWidth="1"/>
    <col min="8" max="8" width="28" customWidth="1"/>
    <col min="9" max="9" width="42" customWidth="1"/>
    <col min="10" max="10" width="45" customWidth="1"/>
  </cols>
  <sheetData>
    <row r="1" spans="1:12" ht="68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t="s">
        <v>100</v>
      </c>
    </row>
    <row r="2" spans="1:12" ht="32" customHeight="1">
      <c r="A2" s="2" t="s">
        <v>101</v>
      </c>
      <c r="B2" s="2" t="s">
        <v>102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107</v>
      </c>
      <c r="H2" s="2" t="s">
        <v>108</v>
      </c>
      <c r="I2" s="2" t="s">
        <v>109</v>
      </c>
      <c r="J2" s="2" t="s">
        <v>110</v>
      </c>
      <c r="K2" t="s">
        <v>111</v>
      </c>
      <c r="L2" t="s">
        <v>112</v>
      </c>
    </row>
    <row r="3" spans="1:12">
      <c r="A3">
        <v>0</v>
      </c>
      <c r="B3" s="5"/>
      <c r="C3" s="5">
        <v>28</v>
      </c>
      <c r="D3" t="s">
        <v>113</v>
      </c>
      <c r="E3" t="s">
        <v>114</v>
      </c>
      <c r="F3" t="s">
        <v>114</v>
      </c>
      <c r="G3" t="s">
        <v>115</v>
      </c>
      <c r="I3" t="s">
        <v>116</v>
      </c>
      <c r="J3" t="s">
        <v>117</v>
      </c>
      <c r="K3">
        <v>30.126764472870999</v>
      </c>
      <c r="L3">
        <v>-83.229005999999998</v>
      </c>
    </row>
    <row r="4" spans="1:12">
      <c r="A4">
        <v>1</v>
      </c>
      <c r="B4" s="5">
        <v>36</v>
      </c>
      <c r="C4" s="5">
        <v>36</v>
      </c>
      <c r="D4" t="s">
        <v>118</v>
      </c>
      <c r="E4" t="s">
        <v>119</v>
      </c>
      <c r="F4" t="s">
        <v>119</v>
      </c>
      <c r="G4" t="s">
        <v>115</v>
      </c>
      <c r="K4">
        <v>30.126692607977009</v>
      </c>
      <c r="L4">
        <v>-83.229005999999998</v>
      </c>
    </row>
    <row r="5" spans="1:12">
      <c r="A5">
        <v>2</v>
      </c>
      <c r="B5" s="5">
        <v>44</v>
      </c>
      <c r="C5" s="5">
        <v>44</v>
      </c>
      <c r="D5" t="s">
        <v>118</v>
      </c>
      <c r="E5" t="s">
        <v>120</v>
      </c>
      <c r="F5" t="s">
        <v>120</v>
      </c>
      <c r="G5" t="s">
        <v>115</v>
      </c>
      <c r="K5">
        <v>30.126620743083009</v>
      </c>
      <c r="L5">
        <v>-83.229005999999998</v>
      </c>
    </row>
    <row r="6" spans="1:12">
      <c r="A6">
        <v>3</v>
      </c>
      <c r="B6" s="5">
        <v>52.07</v>
      </c>
      <c r="C6" s="5">
        <v>52.07</v>
      </c>
      <c r="D6" t="s">
        <v>118</v>
      </c>
      <c r="E6" t="s">
        <v>121</v>
      </c>
      <c r="F6" t="s">
        <v>121</v>
      </c>
      <c r="G6" t="s">
        <v>115</v>
      </c>
      <c r="K6">
        <v>30.126548249371179</v>
      </c>
      <c r="L6">
        <v>-83.229005999999998</v>
      </c>
    </row>
    <row r="7" spans="1:12">
      <c r="A7">
        <v>4</v>
      </c>
      <c r="B7" s="5">
        <v>60.04</v>
      </c>
      <c r="C7" s="5">
        <v>60.04</v>
      </c>
      <c r="D7" t="s">
        <v>118</v>
      </c>
      <c r="E7" t="s">
        <v>122</v>
      </c>
      <c r="F7" t="s">
        <v>122</v>
      </c>
      <c r="G7" t="s">
        <v>115</v>
      </c>
      <c r="K7">
        <v>30.126476653970531</v>
      </c>
      <c r="L7">
        <v>-83.229005999999998</v>
      </c>
    </row>
    <row r="8" spans="1:12">
      <c r="A8">
        <v>5</v>
      </c>
      <c r="B8" s="5">
        <v>68.09</v>
      </c>
      <c r="C8" s="5">
        <v>68.09</v>
      </c>
      <c r="D8" t="s">
        <v>118</v>
      </c>
      <c r="E8" t="s">
        <v>123</v>
      </c>
      <c r="F8" t="s">
        <v>123</v>
      </c>
      <c r="G8" t="s">
        <v>115</v>
      </c>
      <c r="K8">
        <v>30.126404339920949</v>
      </c>
      <c r="L8">
        <v>-83.229005999999998</v>
      </c>
    </row>
    <row r="9" spans="1:12">
      <c r="A9">
        <v>6</v>
      </c>
      <c r="B9" s="5">
        <v>76</v>
      </c>
      <c r="C9" s="5">
        <v>76</v>
      </c>
      <c r="D9" t="s">
        <v>118</v>
      </c>
      <c r="E9" t="s">
        <v>124</v>
      </c>
      <c r="F9" t="s">
        <v>124</v>
      </c>
      <c r="G9" t="s">
        <v>115</v>
      </c>
      <c r="K9">
        <v>30.126333283507009</v>
      </c>
      <c r="L9">
        <v>-83.229005999999998</v>
      </c>
    </row>
    <row r="10" spans="1:12">
      <c r="A10">
        <v>7</v>
      </c>
      <c r="B10" s="5"/>
      <c r="C10" s="5">
        <v>80.025000000000006</v>
      </c>
      <c r="D10" t="s">
        <v>125</v>
      </c>
      <c r="E10" t="s">
        <v>126</v>
      </c>
      <c r="F10" t="s">
        <v>126</v>
      </c>
      <c r="G10" t="s">
        <v>115</v>
      </c>
      <c r="I10" t="s">
        <v>127</v>
      </c>
      <c r="J10" t="s">
        <v>117</v>
      </c>
      <c r="K10">
        <v>30.126297126482211</v>
      </c>
      <c r="L10">
        <v>-83.229005999999998</v>
      </c>
    </row>
    <row r="11" spans="1:12">
      <c r="A11">
        <v>8</v>
      </c>
      <c r="B11" s="5"/>
      <c r="C11" s="5">
        <v>84.05</v>
      </c>
      <c r="D11" t="s">
        <v>125</v>
      </c>
      <c r="E11" t="s">
        <v>128</v>
      </c>
      <c r="F11" t="s">
        <v>128</v>
      </c>
      <c r="G11" t="s">
        <v>115</v>
      </c>
      <c r="I11" t="s">
        <v>127</v>
      </c>
      <c r="J11" t="s">
        <v>117</v>
      </c>
      <c r="K11">
        <v>30.126260969457419</v>
      </c>
      <c r="L11">
        <v>-83.229005999999998</v>
      </c>
    </row>
    <row r="12" spans="1:12">
      <c r="A12">
        <v>9</v>
      </c>
      <c r="B12" s="5"/>
      <c r="C12" s="5">
        <v>88.075000000000003</v>
      </c>
      <c r="D12" t="s">
        <v>125</v>
      </c>
      <c r="E12" t="s">
        <v>129</v>
      </c>
      <c r="F12" t="s">
        <v>129</v>
      </c>
      <c r="G12" t="s">
        <v>115</v>
      </c>
      <c r="I12" t="s">
        <v>127</v>
      </c>
      <c r="J12" t="s">
        <v>117</v>
      </c>
      <c r="K12">
        <v>30.126224812432628</v>
      </c>
      <c r="L12">
        <v>-83.229005999999998</v>
      </c>
    </row>
    <row r="13" spans="1:12">
      <c r="A13">
        <v>10</v>
      </c>
      <c r="B13" s="5">
        <v>92.1</v>
      </c>
      <c r="C13" s="5">
        <v>92.1</v>
      </c>
      <c r="D13" t="s">
        <v>118</v>
      </c>
      <c r="E13" t="s">
        <v>130</v>
      </c>
      <c r="F13" t="s">
        <v>130</v>
      </c>
      <c r="G13" t="s">
        <v>115</v>
      </c>
      <c r="K13">
        <v>30.12618865540783</v>
      </c>
      <c r="L13">
        <v>-83.229005999999998</v>
      </c>
    </row>
    <row r="14" spans="1:12">
      <c r="A14">
        <v>11</v>
      </c>
      <c r="B14" s="5"/>
      <c r="C14" s="5">
        <v>96.05</v>
      </c>
      <c r="D14" t="s">
        <v>125</v>
      </c>
      <c r="E14" t="s">
        <v>131</v>
      </c>
      <c r="F14" t="s">
        <v>131</v>
      </c>
      <c r="G14" t="s">
        <v>115</v>
      </c>
      <c r="I14" t="s">
        <v>132</v>
      </c>
      <c r="J14" t="s">
        <v>117</v>
      </c>
      <c r="K14">
        <v>30.126153172116421</v>
      </c>
      <c r="L14">
        <v>-83.229005999999998</v>
      </c>
    </row>
    <row r="15" spans="1:12">
      <c r="A15">
        <v>12</v>
      </c>
      <c r="B15" s="5">
        <v>100</v>
      </c>
      <c r="C15" s="5">
        <v>100</v>
      </c>
      <c r="D15" t="s">
        <v>118</v>
      </c>
      <c r="E15" t="s">
        <v>133</v>
      </c>
      <c r="F15" t="s">
        <v>133</v>
      </c>
      <c r="G15" t="s">
        <v>115</v>
      </c>
      <c r="K15">
        <v>30.126117688825008</v>
      </c>
      <c r="L15">
        <v>-83.229005999999998</v>
      </c>
    </row>
    <row r="16" spans="1:12">
      <c r="A16">
        <v>13</v>
      </c>
      <c r="B16" s="5">
        <v>103.98</v>
      </c>
      <c r="C16" s="5">
        <v>103.98</v>
      </c>
      <c r="D16" t="s">
        <v>118</v>
      </c>
      <c r="E16" t="s">
        <v>134</v>
      </c>
      <c r="F16" t="s">
        <v>134</v>
      </c>
      <c r="G16" t="s">
        <v>115</v>
      </c>
      <c r="K16">
        <v>30.126081936040251</v>
      </c>
      <c r="L16">
        <v>-83.229005999999998</v>
      </c>
    </row>
    <row r="17" spans="1:12">
      <c r="A17">
        <v>14</v>
      </c>
      <c r="B17" s="5">
        <v>108</v>
      </c>
      <c r="C17" s="5">
        <v>108</v>
      </c>
      <c r="D17" t="s">
        <v>118</v>
      </c>
      <c r="E17" t="s">
        <v>135</v>
      </c>
      <c r="F17" t="s">
        <v>135</v>
      </c>
      <c r="G17" t="s">
        <v>115</v>
      </c>
      <c r="K17">
        <v>30.126045823931008</v>
      </c>
      <c r="L17">
        <v>-83.229005999999998</v>
      </c>
    </row>
    <row r="18" spans="1:12">
      <c r="A18">
        <v>15</v>
      </c>
      <c r="B18" s="5">
        <v>112.02</v>
      </c>
      <c r="C18" s="5">
        <v>112.02</v>
      </c>
      <c r="D18" t="s">
        <v>118</v>
      </c>
      <c r="E18" t="s">
        <v>136</v>
      </c>
      <c r="F18" t="s">
        <v>136</v>
      </c>
      <c r="G18" t="s">
        <v>115</v>
      </c>
      <c r="K18">
        <v>30.12600971182178</v>
      </c>
      <c r="L18">
        <v>-83.229005999999998</v>
      </c>
    </row>
    <row r="19" spans="1:12">
      <c r="A19">
        <v>16</v>
      </c>
      <c r="B19" s="5">
        <v>116</v>
      </c>
      <c r="C19" s="5">
        <v>116</v>
      </c>
      <c r="D19" t="s">
        <v>118</v>
      </c>
      <c r="E19" t="s">
        <v>137</v>
      </c>
      <c r="F19" t="s">
        <v>137</v>
      </c>
      <c r="G19" t="s">
        <v>115</v>
      </c>
      <c r="K19">
        <v>30.125973959037012</v>
      </c>
      <c r="L19">
        <v>-83.229005999999998</v>
      </c>
    </row>
    <row r="20" spans="1:12">
      <c r="A20">
        <v>17</v>
      </c>
      <c r="B20" s="5">
        <v>120.05</v>
      </c>
      <c r="C20" s="5">
        <v>120.05</v>
      </c>
      <c r="D20" t="s">
        <v>118</v>
      </c>
      <c r="E20" t="s">
        <v>138</v>
      </c>
      <c r="F20" t="s">
        <v>138</v>
      </c>
      <c r="G20" t="s">
        <v>115</v>
      </c>
      <c r="K20">
        <v>30.125937577434421</v>
      </c>
      <c r="L20">
        <v>-83.229005999999998</v>
      </c>
    </row>
    <row r="21" spans="1:12">
      <c r="A21">
        <v>18</v>
      </c>
      <c r="B21" s="5">
        <v>124.02</v>
      </c>
      <c r="C21" s="5">
        <v>124.02</v>
      </c>
      <c r="D21" t="s">
        <v>118</v>
      </c>
      <c r="E21" t="s">
        <v>139</v>
      </c>
      <c r="F21" t="s">
        <v>139</v>
      </c>
      <c r="G21" t="s">
        <v>115</v>
      </c>
      <c r="K21">
        <v>30.125901914480782</v>
      </c>
      <c r="L21">
        <v>-83.229005999999998</v>
      </c>
    </row>
    <row r="22" spans="1:12">
      <c r="A22">
        <v>19</v>
      </c>
      <c r="B22" s="5">
        <v>128.01</v>
      </c>
      <c r="C22" s="5">
        <v>128.01</v>
      </c>
      <c r="D22" t="s">
        <v>118</v>
      </c>
      <c r="E22" t="s">
        <v>140</v>
      </c>
      <c r="F22" t="s">
        <v>140</v>
      </c>
      <c r="G22" t="s">
        <v>115</v>
      </c>
      <c r="K22">
        <v>30.125866071864891</v>
      </c>
      <c r="L22">
        <v>-83.229005999999998</v>
      </c>
    </row>
    <row r="23" spans="1:12">
      <c r="A23">
        <v>20</v>
      </c>
      <c r="B23" s="5">
        <v>132.02000000000001</v>
      </c>
      <c r="C23" s="5">
        <v>132.02000000000001</v>
      </c>
      <c r="D23" t="s">
        <v>118</v>
      </c>
      <c r="E23" t="s">
        <v>141</v>
      </c>
      <c r="F23" t="s">
        <v>141</v>
      </c>
      <c r="G23" t="s">
        <v>115</v>
      </c>
      <c r="K23">
        <v>30.125830049586781</v>
      </c>
      <c r="L23">
        <v>-83.229005999999998</v>
      </c>
    </row>
    <row r="24" spans="1:12">
      <c r="A24">
        <v>21</v>
      </c>
      <c r="B24" s="5">
        <v>136.05000000000001</v>
      </c>
      <c r="C24" s="5">
        <v>136.05000000000001</v>
      </c>
      <c r="D24" t="s">
        <v>118</v>
      </c>
      <c r="E24" t="s">
        <v>142</v>
      </c>
      <c r="F24" t="s">
        <v>142</v>
      </c>
      <c r="G24" t="s">
        <v>115</v>
      </c>
      <c r="K24">
        <v>30.125793847646431</v>
      </c>
      <c r="L24">
        <v>-83.229005999999998</v>
      </c>
    </row>
    <row r="25" spans="1:12">
      <c r="A25">
        <v>22</v>
      </c>
      <c r="B25" s="5">
        <v>140</v>
      </c>
      <c r="C25" s="5">
        <v>140</v>
      </c>
      <c r="D25" t="s">
        <v>118</v>
      </c>
      <c r="E25" t="s">
        <v>143</v>
      </c>
      <c r="F25" t="s">
        <v>143</v>
      </c>
      <c r="G25" t="s">
        <v>115</v>
      </c>
      <c r="K25">
        <v>30.125758364355011</v>
      </c>
      <c r="L25">
        <v>-83.229005999999998</v>
      </c>
    </row>
    <row r="26" spans="1:12">
      <c r="A26">
        <v>23</v>
      </c>
      <c r="B26" s="5">
        <v>144</v>
      </c>
      <c r="C26" s="5">
        <v>144</v>
      </c>
      <c r="D26" t="s">
        <v>118</v>
      </c>
      <c r="E26" t="s">
        <v>144</v>
      </c>
      <c r="F26" t="s">
        <v>144</v>
      </c>
      <c r="G26" t="s">
        <v>115</v>
      </c>
      <c r="K26">
        <v>30.125722431908009</v>
      </c>
      <c r="L26">
        <v>-83.229005999999998</v>
      </c>
    </row>
    <row r="27" spans="1:12">
      <c r="A27">
        <v>24</v>
      </c>
      <c r="B27" s="5">
        <v>148</v>
      </c>
      <c r="C27" s="5">
        <v>148</v>
      </c>
      <c r="D27" t="s">
        <v>118</v>
      </c>
      <c r="E27" t="s">
        <v>145</v>
      </c>
      <c r="F27" t="s">
        <v>145</v>
      </c>
      <c r="G27" t="s">
        <v>115</v>
      </c>
      <c r="K27">
        <v>30.125686499461011</v>
      </c>
      <c r="L27">
        <v>-83.229005999999998</v>
      </c>
    </row>
    <row r="28" spans="1:12">
      <c r="A28">
        <v>25</v>
      </c>
      <c r="B28" s="5">
        <v>151.94999999999999</v>
      </c>
      <c r="C28" s="5">
        <v>151.94999999999999</v>
      </c>
      <c r="D28" t="s">
        <v>118</v>
      </c>
      <c r="E28" t="s">
        <v>146</v>
      </c>
      <c r="F28" t="s">
        <v>146</v>
      </c>
      <c r="G28" t="s">
        <v>115</v>
      </c>
      <c r="K28">
        <v>30.125651016169599</v>
      </c>
      <c r="L28">
        <v>-83.229005999999998</v>
      </c>
    </row>
    <row r="29" spans="1:12">
      <c r="A29">
        <v>26</v>
      </c>
      <c r="B29" s="5">
        <v>155.96</v>
      </c>
      <c r="C29" s="5">
        <v>155.96</v>
      </c>
      <c r="D29" t="s">
        <v>118</v>
      </c>
      <c r="E29" t="s">
        <v>147</v>
      </c>
      <c r="F29" t="s">
        <v>147</v>
      </c>
      <c r="G29" t="s">
        <v>115</v>
      </c>
      <c r="K29">
        <v>30.125614993891489</v>
      </c>
      <c r="L29">
        <v>-83.229005999999998</v>
      </c>
    </row>
    <row r="30" spans="1:12">
      <c r="A30">
        <v>27</v>
      </c>
      <c r="B30" s="5">
        <v>160</v>
      </c>
      <c r="C30" s="5">
        <v>160</v>
      </c>
      <c r="D30" t="s">
        <v>118</v>
      </c>
      <c r="E30" t="s">
        <v>148</v>
      </c>
      <c r="F30" t="s">
        <v>148</v>
      </c>
      <c r="G30" t="s">
        <v>115</v>
      </c>
      <c r="K30">
        <v>30.12557870212002</v>
      </c>
      <c r="L30">
        <v>-83.229005999999998</v>
      </c>
    </row>
    <row r="31" spans="1:12">
      <c r="A31">
        <v>28</v>
      </c>
      <c r="B31" s="5">
        <v>164</v>
      </c>
      <c r="C31" s="5">
        <v>164</v>
      </c>
      <c r="D31" t="s">
        <v>118</v>
      </c>
      <c r="E31" t="s">
        <v>149</v>
      </c>
      <c r="F31" t="s">
        <v>149</v>
      </c>
      <c r="G31" t="s">
        <v>115</v>
      </c>
      <c r="K31">
        <v>30.125542769673011</v>
      </c>
      <c r="L31">
        <v>-83.229005999999998</v>
      </c>
    </row>
    <row r="32" spans="1:12">
      <c r="A32">
        <v>29</v>
      </c>
      <c r="B32" s="5">
        <v>168.09</v>
      </c>
      <c r="C32" s="5">
        <v>168.09</v>
      </c>
      <c r="D32" t="s">
        <v>118</v>
      </c>
      <c r="E32" t="s">
        <v>150</v>
      </c>
      <c r="F32" t="s">
        <v>150</v>
      </c>
      <c r="G32" t="s">
        <v>115</v>
      </c>
      <c r="K32">
        <v>30.12550602874596</v>
      </c>
      <c r="L32">
        <v>-83.229005999999998</v>
      </c>
    </row>
    <row r="33" spans="1:12">
      <c r="A33">
        <v>30</v>
      </c>
      <c r="B33" s="5">
        <v>176.04</v>
      </c>
      <c r="C33" s="5">
        <v>176.04</v>
      </c>
      <c r="D33" t="s">
        <v>118</v>
      </c>
      <c r="E33" t="s">
        <v>151</v>
      </c>
      <c r="F33" t="s">
        <v>151</v>
      </c>
      <c r="G33" t="s">
        <v>115</v>
      </c>
      <c r="K33">
        <v>30.125434613007549</v>
      </c>
      <c r="L33">
        <v>-83.229005999999998</v>
      </c>
    </row>
    <row r="34" spans="1:12">
      <c r="A34">
        <v>31</v>
      </c>
      <c r="B34" s="5">
        <v>184.05</v>
      </c>
      <c r="C34" s="5">
        <v>184.05</v>
      </c>
      <c r="D34" t="s">
        <v>118</v>
      </c>
      <c r="E34" t="s">
        <v>152</v>
      </c>
      <c r="F34" t="s">
        <v>152</v>
      </c>
      <c r="G34" t="s">
        <v>115</v>
      </c>
      <c r="K34">
        <v>30.12536265828243</v>
      </c>
      <c r="L34">
        <v>-83.229005999999998</v>
      </c>
    </row>
    <row r="35" spans="1:12">
      <c r="A35">
        <v>32</v>
      </c>
      <c r="B35" s="5">
        <v>192</v>
      </c>
      <c r="C35" s="5">
        <v>192</v>
      </c>
      <c r="D35" t="s">
        <v>118</v>
      </c>
      <c r="E35" t="s">
        <v>153</v>
      </c>
      <c r="F35" t="s">
        <v>153</v>
      </c>
      <c r="G35" t="s">
        <v>115</v>
      </c>
      <c r="K35">
        <v>30.125291242544019</v>
      </c>
      <c r="L35">
        <v>-83.229005999999998</v>
      </c>
    </row>
    <row r="36" spans="1:12">
      <c r="A36">
        <v>33</v>
      </c>
      <c r="B36" s="5">
        <v>200</v>
      </c>
      <c r="C36" s="5">
        <v>200</v>
      </c>
      <c r="D36" t="s">
        <v>118</v>
      </c>
      <c r="E36" t="s">
        <v>154</v>
      </c>
      <c r="F36" t="s">
        <v>154</v>
      </c>
      <c r="G36" t="s">
        <v>115</v>
      </c>
      <c r="K36">
        <v>30.125219377650019</v>
      </c>
      <c r="L36">
        <v>-83.229005999999998</v>
      </c>
    </row>
    <row r="37" spans="1:12">
      <c r="A37">
        <v>34</v>
      </c>
      <c r="B37" s="5">
        <v>208</v>
      </c>
      <c r="C37" s="5">
        <v>208</v>
      </c>
      <c r="D37" t="s">
        <v>118</v>
      </c>
      <c r="E37" t="s">
        <v>155</v>
      </c>
      <c r="F37" t="s">
        <v>155</v>
      </c>
      <c r="G37" t="s">
        <v>115</v>
      </c>
      <c r="K37">
        <v>30.125147512756019</v>
      </c>
      <c r="L37">
        <v>-83.229005999999998</v>
      </c>
    </row>
    <row r="38" spans="1:12">
      <c r="A38">
        <v>35</v>
      </c>
      <c r="B38" s="5">
        <v>216</v>
      </c>
      <c r="C38" s="5">
        <v>216</v>
      </c>
      <c r="D38" t="s">
        <v>118</v>
      </c>
      <c r="E38" t="s">
        <v>156</v>
      </c>
      <c r="F38" t="s">
        <v>156</v>
      </c>
      <c r="G38" t="s">
        <v>115</v>
      </c>
      <c r="K38">
        <v>30.125075647862019</v>
      </c>
      <c r="L38">
        <v>-83.229005999999998</v>
      </c>
    </row>
  </sheetData>
  <conditionalFormatting sqref="D3:D38">
    <cfRule type="expression" dxfId="6" priority="1">
      <formula>$D3&lt;&gt;"measured"</formula>
    </cfRule>
  </conditionalFormatting>
  <conditionalFormatting sqref="J3:J38">
    <cfRule type="expression" dxfId="5" priority="2">
      <formula>LEN($J3)&gt;0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8"/>
  <sheetViews>
    <sheetView workbookViewId="0">
      <selection activeCell="F80" sqref="F80"/>
    </sheetView>
  </sheetViews>
  <sheetFormatPr baseColWidth="10" defaultColWidth="8.83203125" defaultRowHeight="14"/>
  <cols>
    <col min="1" max="1" width="14" customWidth="1"/>
    <col min="2" max="3" width="16" customWidth="1"/>
    <col min="4" max="4" width="20" customWidth="1"/>
    <col min="5" max="5" width="18" customWidth="1"/>
    <col min="6" max="6" width="22" customWidth="1"/>
    <col min="7" max="7" width="16" customWidth="1"/>
    <col min="8" max="8" width="28" customWidth="1"/>
    <col min="9" max="9" width="42" customWidth="1"/>
    <col min="10" max="10" width="45" customWidth="1"/>
    <col min="11" max="11" width="16" customWidth="1"/>
    <col min="12" max="12" width="18" customWidth="1"/>
    <col min="13" max="13" width="22" customWidth="1"/>
  </cols>
  <sheetData>
    <row r="1" spans="1:15" ht="68" customHeight="1">
      <c r="A1" s="4" t="s">
        <v>157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t="s">
        <v>100</v>
      </c>
    </row>
    <row r="2" spans="1:15" ht="32" customHeight="1">
      <c r="A2" s="2" t="s">
        <v>101</v>
      </c>
      <c r="B2" s="2" t="s">
        <v>102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107</v>
      </c>
      <c r="H2" s="2" t="s">
        <v>108</v>
      </c>
      <c r="I2" s="2" t="s">
        <v>109</v>
      </c>
      <c r="J2" s="2" t="s">
        <v>110</v>
      </c>
      <c r="K2" s="2" t="s">
        <v>158</v>
      </c>
      <c r="L2" s="2" t="s">
        <v>159</v>
      </c>
      <c r="M2" s="2" t="s">
        <v>160</v>
      </c>
      <c r="N2" t="s">
        <v>111</v>
      </c>
      <c r="O2" t="s">
        <v>112</v>
      </c>
    </row>
    <row r="3" spans="1:15">
      <c r="A3">
        <v>0</v>
      </c>
      <c r="B3" s="5">
        <v>68.09</v>
      </c>
      <c r="C3" s="5">
        <v>68.09</v>
      </c>
      <c r="D3" t="s">
        <v>118</v>
      </c>
      <c r="E3" t="s">
        <v>123</v>
      </c>
      <c r="F3" t="s">
        <v>123</v>
      </c>
      <c r="G3" t="s">
        <v>161</v>
      </c>
      <c r="K3">
        <v>68.09</v>
      </c>
      <c r="L3" s="5">
        <v>0</v>
      </c>
      <c r="M3" t="s">
        <v>162</v>
      </c>
      <c r="N3">
        <v>30.126404339920949</v>
      </c>
      <c r="O3">
        <v>-83.229005999999998</v>
      </c>
    </row>
    <row r="4" spans="1:15">
      <c r="A4">
        <v>1</v>
      </c>
      <c r="B4" s="5">
        <v>76</v>
      </c>
      <c r="C4" s="5">
        <v>76</v>
      </c>
      <c r="D4" t="s">
        <v>118</v>
      </c>
      <c r="E4" t="s">
        <v>124</v>
      </c>
      <c r="F4" t="s">
        <v>124</v>
      </c>
      <c r="G4" t="s">
        <v>161</v>
      </c>
      <c r="K4">
        <v>76</v>
      </c>
      <c r="L4" s="5">
        <v>0</v>
      </c>
      <c r="M4" t="s">
        <v>162</v>
      </c>
      <c r="N4">
        <v>30.126333283507009</v>
      </c>
      <c r="O4">
        <v>-83.229005999999998</v>
      </c>
    </row>
    <row r="5" spans="1:15">
      <c r="A5">
        <v>2</v>
      </c>
      <c r="B5" s="5"/>
      <c r="C5" s="5">
        <v>80.025000000000006</v>
      </c>
      <c r="D5" t="s">
        <v>125</v>
      </c>
      <c r="E5" t="s">
        <v>126</v>
      </c>
      <c r="F5" t="s">
        <v>126</v>
      </c>
      <c r="G5" t="s">
        <v>161</v>
      </c>
      <c r="I5" t="s">
        <v>163</v>
      </c>
      <c r="J5" t="s">
        <v>117</v>
      </c>
      <c r="K5">
        <v>80.025000000000006</v>
      </c>
      <c r="L5" s="5">
        <v>0</v>
      </c>
      <c r="M5" t="s">
        <v>162</v>
      </c>
      <c r="N5">
        <v>30.126297126482211</v>
      </c>
      <c r="O5">
        <v>-83.229005999999998</v>
      </c>
    </row>
    <row r="6" spans="1:15">
      <c r="A6">
        <v>3</v>
      </c>
      <c r="B6" s="5"/>
      <c r="C6" s="5">
        <v>84.05</v>
      </c>
      <c r="D6" t="s">
        <v>125</v>
      </c>
      <c r="E6" t="s">
        <v>128</v>
      </c>
      <c r="F6" t="s">
        <v>128</v>
      </c>
      <c r="G6" t="s">
        <v>161</v>
      </c>
      <c r="I6" t="s">
        <v>163</v>
      </c>
      <c r="J6" t="s">
        <v>117</v>
      </c>
      <c r="K6">
        <v>84.05</v>
      </c>
      <c r="L6" s="5">
        <v>0</v>
      </c>
      <c r="M6" t="s">
        <v>162</v>
      </c>
      <c r="N6">
        <v>30.126260969457419</v>
      </c>
      <c r="O6">
        <v>-83.229005999999998</v>
      </c>
    </row>
    <row r="7" spans="1:15">
      <c r="A7">
        <v>4</v>
      </c>
      <c r="B7" s="5"/>
      <c r="C7" s="5">
        <v>88.075000000000003</v>
      </c>
      <c r="D7" t="s">
        <v>125</v>
      </c>
      <c r="E7" t="s">
        <v>129</v>
      </c>
      <c r="F7" t="s">
        <v>129</v>
      </c>
      <c r="G7" t="s">
        <v>161</v>
      </c>
      <c r="I7" t="s">
        <v>163</v>
      </c>
      <c r="J7" t="s">
        <v>117</v>
      </c>
      <c r="K7">
        <v>88.075000000000003</v>
      </c>
      <c r="L7" s="5">
        <v>0</v>
      </c>
      <c r="M7" t="s">
        <v>162</v>
      </c>
      <c r="N7">
        <v>30.126224812432628</v>
      </c>
      <c r="O7">
        <v>-83.229005999999998</v>
      </c>
    </row>
    <row r="8" spans="1:15">
      <c r="A8">
        <v>5</v>
      </c>
      <c r="B8" s="5">
        <v>92.1</v>
      </c>
      <c r="C8" s="5">
        <v>92.1</v>
      </c>
      <c r="D8" t="s">
        <v>118</v>
      </c>
      <c r="E8" t="s">
        <v>130</v>
      </c>
      <c r="F8" t="s">
        <v>130</v>
      </c>
      <c r="G8" t="s">
        <v>161</v>
      </c>
      <c r="K8">
        <v>92.1</v>
      </c>
      <c r="L8" s="5">
        <v>0</v>
      </c>
      <c r="M8" t="s">
        <v>162</v>
      </c>
      <c r="N8">
        <v>30.12618865540783</v>
      </c>
      <c r="O8">
        <v>-83.229005999999998</v>
      </c>
    </row>
    <row r="9" spans="1:15">
      <c r="A9">
        <v>6</v>
      </c>
      <c r="B9" s="5"/>
      <c r="C9" s="5">
        <v>96.05</v>
      </c>
      <c r="D9" t="s">
        <v>125</v>
      </c>
      <c r="E9" t="s">
        <v>131</v>
      </c>
      <c r="F9" t="s">
        <v>131</v>
      </c>
      <c r="G9" t="s">
        <v>161</v>
      </c>
      <c r="I9" t="s">
        <v>164</v>
      </c>
      <c r="J9" t="s">
        <v>117</v>
      </c>
      <c r="K9">
        <v>96.05</v>
      </c>
      <c r="L9" s="5">
        <v>0</v>
      </c>
      <c r="M9" t="s">
        <v>162</v>
      </c>
      <c r="N9">
        <v>30.126153172116421</v>
      </c>
      <c r="O9">
        <v>-83.229005999999998</v>
      </c>
    </row>
    <row r="10" spans="1:15">
      <c r="A10">
        <v>7</v>
      </c>
      <c r="B10" s="5">
        <v>100</v>
      </c>
      <c r="C10" s="5">
        <v>100</v>
      </c>
      <c r="D10" t="s">
        <v>118</v>
      </c>
      <c r="E10" t="s">
        <v>133</v>
      </c>
      <c r="F10" t="s">
        <v>133</v>
      </c>
      <c r="G10" t="s">
        <v>161</v>
      </c>
      <c r="K10">
        <v>100</v>
      </c>
      <c r="L10" s="5">
        <v>0</v>
      </c>
      <c r="M10" t="s">
        <v>162</v>
      </c>
      <c r="N10">
        <v>30.126117688825008</v>
      </c>
      <c r="O10">
        <v>-83.229005999999998</v>
      </c>
    </row>
    <row r="11" spans="1:15">
      <c r="A11">
        <v>8</v>
      </c>
      <c r="B11" s="5">
        <v>104.08</v>
      </c>
      <c r="C11" s="5">
        <v>104.08</v>
      </c>
      <c r="D11" t="s">
        <v>118</v>
      </c>
      <c r="E11" t="s">
        <v>165</v>
      </c>
      <c r="F11" t="s">
        <v>134</v>
      </c>
      <c r="G11" t="s">
        <v>161</v>
      </c>
      <c r="H11" t="s">
        <v>166</v>
      </c>
      <c r="J11" t="s">
        <v>167</v>
      </c>
      <c r="K11">
        <v>103.98</v>
      </c>
      <c r="L11" s="5">
        <v>0.1</v>
      </c>
      <c r="M11" t="s">
        <v>162</v>
      </c>
      <c r="N11">
        <v>30.126081037729069</v>
      </c>
      <c r="O11">
        <v>-83.229005999999998</v>
      </c>
    </row>
    <row r="12" spans="1:15">
      <c r="A12">
        <v>9</v>
      </c>
      <c r="B12" s="5">
        <v>106.03</v>
      </c>
      <c r="C12" s="5">
        <v>106.03</v>
      </c>
      <c r="D12" t="s">
        <v>118</v>
      </c>
      <c r="E12" t="s">
        <v>155</v>
      </c>
      <c r="F12" t="s">
        <v>155</v>
      </c>
      <c r="G12" t="s">
        <v>161</v>
      </c>
      <c r="K12">
        <v>208</v>
      </c>
      <c r="L12" s="5">
        <v>-101.97</v>
      </c>
      <c r="M12" t="s">
        <v>168</v>
      </c>
      <c r="N12">
        <v>30.126063520661159</v>
      </c>
      <c r="O12">
        <v>-83.229005999999998</v>
      </c>
    </row>
    <row r="13" spans="1:15">
      <c r="A13">
        <v>10</v>
      </c>
      <c r="B13" s="5">
        <v>108.14</v>
      </c>
      <c r="C13" s="5">
        <v>108.14</v>
      </c>
      <c r="D13" t="s">
        <v>118</v>
      </c>
      <c r="E13" t="s">
        <v>135</v>
      </c>
      <c r="F13" t="s">
        <v>135</v>
      </c>
      <c r="G13" t="s">
        <v>161</v>
      </c>
      <c r="K13">
        <v>108</v>
      </c>
      <c r="L13" s="5">
        <v>0.14000000000000001</v>
      </c>
      <c r="M13" t="s">
        <v>162</v>
      </c>
      <c r="N13">
        <v>30.12604456629537</v>
      </c>
      <c r="O13">
        <v>-83.229005999999998</v>
      </c>
    </row>
    <row r="14" spans="1:15">
      <c r="A14">
        <v>11</v>
      </c>
      <c r="B14" s="5">
        <v>110.05</v>
      </c>
      <c r="C14" s="5">
        <v>110.05</v>
      </c>
      <c r="D14" t="s">
        <v>118</v>
      </c>
      <c r="E14" t="s">
        <v>122</v>
      </c>
      <c r="F14" t="s">
        <v>122</v>
      </c>
      <c r="G14" t="s">
        <v>161</v>
      </c>
      <c r="H14" t="s">
        <v>169</v>
      </c>
      <c r="K14">
        <v>60.04</v>
      </c>
      <c r="L14" s="5">
        <v>50.01</v>
      </c>
      <c r="M14" t="s">
        <v>168</v>
      </c>
      <c r="N14">
        <v>30.12602740855192</v>
      </c>
      <c r="O14">
        <v>-83.229005999999998</v>
      </c>
    </row>
    <row r="15" spans="1:15">
      <c r="A15">
        <v>12</v>
      </c>
      <c r="B15" s="5">
        <v>112.15</v>
      </c>
      <c r="C15" s="5">
        <v>112.15</v>
      </c>
      <c r="D15" t="s">
        <v>118</v>
      </c>
      <c r="E15" t="s">
        <v>136</v>
      </c>
      <c r="F15" t="s">
        <v>136</v>
      </c>
      <c r="G15" t="s">
        <v>161</v>
      </c>
      <c r="H15" t="s">
        <v>166</v>
      </c>
      <c r="K15">
        <v>112.02</v>
      </c>
      <c r="L15" s="5">
        <v>0.13</v>
      </c>
      <c r="M15" t="s">
        <v>162</v>
      </c>
      <c r="N15">
        <v>30.12600854401725</v>
      </c>
      <c r="O15">
        <v>-83.229005999999998</v>
      </c>
    </row>
    <row r="16" spans="1:15">
      <c r="A16">
        <v>13</v>
      </c>
      <c r="B16" s="5">
        <v>114</v>
      </c>
      <c r="C16" s="5">
        <v>114</v>
      </c>
      <c r="D16" t="s">
        <v>118</v>
      </c>
      <c r="E16" t="s">
        <v>121</v>
      </c>
      <c r="F16" t="s">
        <v>121</v>
      </c>
      <c r="G16" t="s">
        <v>161</v>
      </c>
      <c r="K16">
        <v>52.07</v>
      </c>
      <c r="L16" s="5">
        <v>61.93</v>
      </c>
      <c r="M16" t="s">
        <v>168</v>
      </c>
      <c r="N16">
        <v>30.125991925260511</v>
      </c>
      <c r="O16">
        <v>-83.229005999999998</v>
      </c>
    </row>
    <row r="17" spans="1:15">
      <c r="A17">
        <v>14</v>
      </c>
      <c r="B17" s="5">
        <v>116.11</v>
      </c>
      <c r="C17" s="5">
        <v>116.11</v>
      </c>
      <c r="D17" t="s">
        <v>118</v>
      </c>
      <c r="E17" t="s">
        <v>137</v>
      </c>
      <c r="F17" t="s">
        <v>137</v>
      </c>
      <c r="G17" t="s">
        <v>161</v>
      </c>
      <c r="K17">
        <v>116</v>
      </c>
      <c r="L17" s="5">
        <v>0.11</v>
      </c>
      <c r="M17" t="s">
        <v>162</v>
      </c>
      <c r="N17">
        <v>30.125972970894718</v>
      </c>
      <c r="O17">
        <v>-83.229005999999998</v>
      </c>
    </row>
    <row r="18" spans="1:15">
      <c r="A18">
        <v>15</v>
      </c>
      <c r="B18" s="5">
        <v>117.97</v>
      </c>
      <c r="C18" s="5">
        <v>117.97</v>
      </c>
      <c r="D18" t="s">
        <v>118</v>
      </c>
      <c r="E18" t="s">
        <v>154</v>
      </c>
      <c r="F18" t="s">
        <v>154</v>
      </c>
      <c r="G18" t="s">
        <v>161</v>
      </c>
      <c r="K18">
        <v>200</v>
      </c>
      <c r="L18" s="5">
        <v>-82.03</v>
      </c>
      <c r="M18" t="s">
        <v>168</v>
      </c>
      <c r="N18">
        <v>30.125956262306861</v>
      </c>
      <c r="O18">
        <v>-83.229005999999998</v>
      </c>
    </row>
    <row r="19" spans="1:15">
      <c r="A19">
        <v>16</v>
      </c>
      <c r="B19" s="5">
        <v>120.18</v>
      </c>
      <c r="C19" s="5">
        <v>120.18</v>
      </c>
      <c r="D19" t="s">
        <v>118</v>
      </c>
      <c r="E19" t="s">
        <v>170</v>
      </c>
      <c r="F19" t="s">
        <v>138</v>
      </c>
      <c r="G19" t="s">
        <v>161</v>
      </c>
      <c r="H19" t="s">
        <v>171</v>
      </c>
      <c r="J19" t="s">
        <v>167</v>
      </c>
      <c r="K19">
        <v>120.05</v>
      </c>
      <c r="L19" s="5">
        <v>0.13</v>
      </c>
      <c r="M19" t="s">
        <v>162</v>
      </c>
      <c r="N19">
        <v>30.125936409629901</v>
      </c>
      <c r="O19">
        <v>-83.229005999999998</v>
      </c>
    </row>
    <row r="20" spans="1:15">
      <c r="A20">
        <v>17</v>
      </c>
      <c r="B20" s="5">
        <v>122.04</v>
      </c>
      <c r="C20" s="5">
        <v>122.04</v>
      </c>
      <c r="D20" t="s">
        <v>118</v>
      </c>
      <c r="E20" t="s">
        <v>120</v>
      </c>
      <c r="F20" t="s">
        <v>120</v>
      </c>
      <c r="G20" t="s">
        <v>161</v>
      </c>
      <c r="K20">
        <v>44</v>
      </c>
      <c r="L20" s="5">
        <v>78.040000000000006</v>
      </c>
      <c r="M20" t="s">
        <v>168</v>
      </c>
      <c r="N20">
        <v>30.12591970104204</v>
      </c>
      <c r="O20">
        <v>-83.229005999999998</v>
      </c>
    </row>
    <row r="21" spans="1:15">
      <c r="A21">
        <v>18</v>
      </c>
      <c r="B21" s="5">
        <v>124.13</v>
      </c>
      <c r="C21" s="5">
        <v>124.13</v>
      </c>
      <c r="D21" t="s">
        <v>118</v>
      </c>
      <c r="E21" t="s">
        <v>139</v>
      </c>
      <c r="F21" t="s">
        <v>139</v>
      </c>
      <c r="G21" t="s">
        <v>161</v>
      </c>
      <c r="H21" t="s">
        <v>172</v>
      </c>
      <c r="K21">
        <v>124.02</v>
      </c>
      <c r="L21" s="5">
        <v>0.11</v>
      </c>
      <c r="M21" t="s">
        <v>162</v>
      </c>
      <c r="N21">
        <v>30.125900926338481</v>
      </c>
      <c r="O21">
        <v>-83.229005999999998</v>
      </c>
    </row>
    <row r="22" spans="1:15">
      <c r="A22">
        <v>19</v>
      </c>
      <c r="B22" s="5">
        <v>126.38</v>
      </c>
      <c r="C22" s="5">
        <v>126.38</v>
      </c>
      <c r="D22" t="s">
        <v>118</v>
      </c>
      <c r="E22" t="s">
        <v>119</v>
      </c>
      <c r="F22" t="s">
        <v>119</v>
      </c>
      <c r="G22" t="s">
        <v>161</v>
      </c>
      <c r="K22">
        <v>36</v>
      </c>
      <c r="L22" s="5">
        <v>90.38</v>
      </c>
      <c r="M22" t="s">
        <v>168</v>
      </c>
      <c r="N22">
        <v>30.12588071433705</v>
      </c>
      <c r="O22">
        <v>-83.229005999999998</v>
      </c>
    </row>
    <row r="23" spans="1:15">
      <c r="A23">
        <v>20</v>
      </c>
      <c r="B23" s="5">
        <v>128.15</v>
      </c>
      <c r="C23" s="5">
        <v>128.15</v>
      </c>
      <c r="D23" t="s">
        <v>118</v>
      </c>
      <c r="E23" t="s">
        <v>140</v>
      </c>
      <c r="F23" t="s">
        <v>140</v>
      </c>
      <c r="G23" t="s">
        <v>161</v>
      </c>
      <c r="K23">
        <v>128.01</v>
      </c>
      <c r="L23" s="5">
        <v>0.14000000000000001</v>
      </c>
      <c r="M23" t="s">
        <v>162</v>
      </c>
      <c r="N23">
        <v>30.125864814229249</v>
      </c>
      <c r="O23">
        <v>-83.229005999999998</v>
      </c>
    </row>
    <row r="24" spans="1:15">
      <c r="A24">
        <v>21</v>
      </c>
      <c r="B24" s="5">
        <v>129.96</v>
      </c>
      <c r="C24" s="5">
        <v>129.96</v>
      </c>
      <c r="D24" t="s">
        <v>118</v>
      </c>
      <c r="E24" t="s">
        <v>114</v>
      </c>
      <c r="F24" t="s">
        <v>114</v>
      </c>
      <c r="G24" t="s">
        <v>161</v>
      </c>
      <c r="K24">
        <v>28</v>
      </c>
      <c r="L24" s="5">
        <v>101.96</v>
      </c>
      <c r="M24" t="s">
        <v>168</v>
      </c>
      <c r="N24">
        <v>30.125848554796981</v>
      </c>
      <c r="O24">
        <v>-83.229005999999998</v>
      </c>
    </row>
    <row r="25" spans="1:15">
      <c r="A25">
        <v>22</v>
      </c>
      <c r="B25" s="5">
        <v>132.16</v>
      </c>
      <c r="C25" s="5">
        <v>132.16</v>
      </c>
      <c r="D25" t="s">
        <v>118</v>
      </c>
      <c r="E25" t="s">
        <v>141</v>
      </c>
      <c r="F25" t="s">
        <v>141</v>
      </c>
      <c r="G25" t="s">
        <v>161</v>
      </c>
      <c r="H25" t="s">
        <v>172</v>
      </c>
      <c r="K25">
        <v>132.02000000000001</v>
      </c>
      <c r="L25" s="5">
        <v>0.14000000000000001</v>
      </c>
      <c r="M25" t="s">
        <v>162</v>
      </c>
      <c r="N25">
        <v>30.125828791951129</v>
      </c>
      <c r="O25">
        <v>-83.229005999999998</v>
      </c>
    </row>
    <row r="26" spans="1:15">
      <c r="A26">
        <v>23</v>
      </c>
      <c r="B26" s="5">
        <v>134.02000000000001</v>
      </c>
      <c r="C26" s="5">
        <v>134.02000000000001</v>
      </c>
      <c r="D26" t="s">
        <v>118</v>
      </c>
      <c r="E26" t="s">
        <v>153</v>
      </c>
      <c r="F26" t="s">
        <v>153</v>
      </c>
      <c r="G26" t="s">
        <v>161</v>
      </c>
      <c r="K26">
        <v>192</v>
      </c>
      <c r="L26" s="5">
        <v>-57.98</v>
      </c>
      <c r="M26" t="s">
        <v>168</v>
      </c>
      <c r="N26">
        <v>30.125812083363279</v>
      </c>
      <c r="O26">
        <v>-83.229005999999998</v>
      </c>
    </row>
    <row r="27" spans="1:15">
      <c r="A27">
        <v>24</v>
      </c>
      <c r="B27" s="5">
        <v>136.19999999999999</v>
      </c>
      <c r="C27" s="5">
        <v>136.19999999999999</v>
      </c>
      <c r="D27" t="s">
        <v>118</v>
      </c>
      <c r="E27" t="s">
        <v>142</v>
      </c>
      <c r="F27" t="s">
        <v>142</v>
      </c>
      <c r="G27" t="s">
        <v>161</v>
      </c>
      <c r="H27" t="s">
        <v>166</v>
      </c>
      <c r="K27">
        <v>136.05000000000001</v>
      </c>
      <c r="L27" s="5">
        <v>0.15</v>
      </c>
      <c r="M27" t="s">
        <v>162</v>
      </c>
      <c r="N27">
        <v>30.12579250017966</v>
      </c>
      <c r="O27">
        <v>-83.229005999999998</v>
      </c>
    </row>
    <row r="28" spans="1:15">
      <c r="A28">
        <v>25</v>
      </c>
      <c r="B28" s="5">
        <v>137.82</v>
      </c>
      <c r="C28" s="5">
        <v>137.82</v>
      </c>
      <c r="D28" t="s">
        <v>118</v>
      </c>
      <c r="E28" t="s">
        <v>156</v>
      </c>
      <c r="F28" t="s">
        <v>156</v>
      </c>
      <c r="G28" t="s">
        <v>161</v>
      </c>
      <c r="K28">
        <v>216</v>
      </c>
      <c r="L28" s="5">
        <v>-78.180000000000007</v>
      </c>
      <c r="M28" t="s">
        <v>168</v>
      </c>
      <c r="N28">
        <v>30.12577794753863</v>
      </c>
      <c r="O28">
        <v>-83.229005999999998</v>
      </c>
    </row>
    <row r="29" spans="1:15">
      <c r="A29">
        <v>26</v>
      </c>
      <c r="B29" s="5">
        <v>140</v>
      </c>
      <c r="C29" s="5">
        <v>140</v>
      </c>
      <c r="D29" t="s">
        <v>118</v>
      </c>
      <c r="E29" t="s">
        <v>143</v>
      </c>
      <c r="F29" t="s">
        <v>143</v>
      </c>
      <c r="G29" t="s">
        <v>161</v>
      </c>
      <c r="K29">
        <v>140</v>
      </c>
      <c r="L29" s="5">
        <v>0</v>
      </c>
      <c r="M29" t="s">
        <v>162</v>
      </c>
      <c r="N29">
        <v>30.125758364355011</v>
      </c>
      <c r="O29">
        <v>-83.229005999999998</v>
      </c>
    </row>
    <row r="30" spans="1:15">
      <c r="A30">
        <v>27</v>
      </c>
      <c r="B30" s="5">
        <v>144</v>
      </c>
      <c r="C30" s="5">
        <v>144</v>
      </c>
      <c r="D30" t="s">
        <v>118</v>
      </c>
      <c r="E30" t="s">
        <v>144</v>
      </c>
      <c r="F30" t="s">
        <v>144</v>
      </c>
      <c r="G30" t="s">
        <v>161</v>
      </c>
      <c r="K30">
        <v>144</v>
      </c>
      <c r="L30" s="5">
        <v>0</v>
      </c>
      <c r="M30" t="s">
        <v>162</v>
      </c>
      <c r="N30">
        <v>30.125722431908009</v>
      </c>
      <c r="O30">
        <v>-83.229005999999998</v>
      </c>
    </row>
    <row r="31" spans="1:15">
      <c r="A31">
        <v>28</v>
      </c>
      <c r="B31" s="5">
        <v>148</v>
      </c>
      <c r="C31" s="5">
        <v>148</v>
      </c>
      <c r="D31" t="s">
        <v>118</v>
      </c>
      <c r="E31" t="s">
        <v>145</v>
      </c>
      <c r="F31" t="s">
        <v>145</v>
      </c>
      <c r="G31" t="s">
        <v>161</v>
      </c>
      <c r="K31">
        <v>148</v>
      </c>
      <c r="L31" s="5">
        <v>0</v>
      </c>
      <c r="M31" t="s">
        <v>162</v>
      </c>
      <c r="N31">
        <v>30.125686499461011</v>
      </c>
      <c r="O31">
        <v>-83.229005999999998</v>
      </c>
    </row>
    <row r="32" spans="1:15">
      <c r="A32">
        <v>29</v>
      </c>
      <c r="B32" s="5">
        <v>151.94999999999999</v>
      </c>
      <c r="C32" s="5">
        <v>151.94999999999999</v>
      </c>
      <c r="D32" t="s">
        <v>118</v>
      </c>
      <c r="E32" t="s">
        <v>146</v>
      </c>
      <c r="F32" t="s">
        <v>146</v>
      </c>
      <c r="G32" t="s">
        <v>161</v>
      </c>
      <c r="K32">
        <v>151.94999999999999</v>
      </c>
      <c r="L32" s="5">
        <v>0</v>
      </c>
      <c r="M32" t="s">
        <v>162</v>
      </c>
      <c r="N32">
        <v>30.125651016169599</v>
      </c>
      <c r="O32">
        <v>-83.229005999999998</v>
      </c>
    </row>
    <row r="33" spans="1:15">
      <c r="A33">
        <v>30</v>
      </c>
      <c r="B33" s="5">
        <v>155.96</v>
      </c>
      <c r="C33" s="5">
        <v>155.96</v>
      </c>
      <c r="D33" t="s">
        <v>118</v>
      </c>
      <c r="E33" t="s">
        <v>147</v>
      </c>
      <c r="F33" t="s">
        <v>147</v>
      </c>
      <c r="G33" t="s">
        <v>161</v>
      </c>
      <c r="K33">
        <v>155.96</v>
      </c>
      <c r="L33" s="5">
        <v>0</v>
      </c>
      <c r="M33" t="s">
        <v>162</v>
      </c>
      <c r="N33">
        <v>30.125614993891489</v>
      </c>
      <c r="O33">
        <v>-83.229005999999998</v>
      </c>
    </row>
    <row r="34" spans="1:15">
      <c r="A34">
        <v>31</v>
      </c>
      <c r="B34" s="5">
        <v>160</v>
      </c>
      <c r="C34" s="5">
        <v>160</v>
      </c>
      <c r="D34" t="s">
        <v>118</v>
      </c>
      <c r="E34" t="s">
        <v>148</v>
      </c>
      <c r="F34" t="s">
        <v>148</v>
      </c>
      <c r="G34" t="s">
        <v>161</v>
      </c>
      <c r="K34">
        <v>160</v>
      </c>
      <c r="L34" s="5">
        <v>0</v>
      </c>
      <c r="M34" t="s">
        <v>162</v>
      </c>
      <c r="N34">
        <v>30.12557870212002</v>
      </c>
      <c r="O34">
        <v>-83.229005999999998</v>
      </c>
    </row>
    <row r="35" spans="1:15">
      <c r="A35">
        <v>32</v>
      </c>
      <c r="B35" s="5">
        <v>164</v>
      </c>
      <c r="C35" s="5">
        <v>164</v>
      </c>
      <c r="D35" t="s">
        <v>118</v>
      </c>
      <c r="E35" t="s">
        <v>149</v>
      </c>
      <c r="F35" t="s">
        <v>149</v>
      </c>
      <c r="G35" t="s">
        <v>161</v>
      </c>
      <c r="K35">
        <v>164</v>
      </c>
      <c r="L35" s="5">
        <v>0</v>
      </c>
      <c r="M35" t="s">
        <v>162</v>
      </c>
      <c r="N35">
        <v>30.125542769673011</v>
      </c>
      <c r="O35">
        <v>-83.229005999999998</v>
      </c>
    </row>
    <row r="36" spans="1:15">
      <c r="A36">
        <v>33</v>
      </c>
      <c r="B36" s="5">
        <v>168.09</v>
      </c>
      <c r="C36" s="5">
        <v>168.09</v>
      </c>
      <c r="D36" t="s">
        <v>118</v>
      </c>
      <c r="E36" t="s">
        <v>150</v>
      </c>
      <c r="F36" t="s">
        <v>150</v>
      </c>
      <c r="G36" t="s">
        <v>161</v>
      </c>
      <c r="K36">
        <v>168.09</v>
      </c>
      <c r="L36" s="5">
        <v>0</v>
      </c>
      <c r="M36" t="s">
        <v>162</v>
      </c>
      <c r="N36">
        <v>30.12550602874596</v>
      </c>
      <c r="O36">
        <v>-83.229005999999998</v>
      </c>
    </row>
    <row r="37" spans="1:15">
      <c r="A37">
        <v>34</v>
      </c>
      <c r="B37" s="5">
        <v>176.04</v>
      </c>
      <c r="C37" s="5">
        <v>176.04</v>
      </c>
      <c r="D37" t="s">
        <v>118</v>
      </c>
      <c r="E37" t="s">
        <v>151</v>
      </c>
      <c r="F37" t="s">
        <v>151</v>
      </c>
      <c r="G37" t="s">
        <v>161</v>
      </c>
      <c r="K37">
        <v>176.04</v>
      </c>
      <c r="L37" s="5">
        <v>0</v>
      </c>
      <c r="M37" t="s">
        <v>162</v>
      </c>
      <c r="N37">
        <v>30.125434613007549</v>
      </c>
      <c r="O37">
        <v>-83.229005999999998</v>
      </c>
    </row>
    <row r="38" spans="1:15">
      <c r="A38">
        <v>35</v>
      </c>
      <c r="B38" s="5">
        <v>184.05</v>
      </c>
      <c r="C38" s="5">
        <v>184.05</v>
      </c>
      <c r="D38" t="s">
        <v>118</v>
      </c>
      <c r="E38" t="s">
        <v>152</v>
      </c>
      <c r="F38" t="s">
        <v>152</v>
      </c>
      <c r="G38" t="s">
        <v>161</v>
      </c>
      <c r="K38">
        <v>184.05</v>
      </c>
      <c r="L38" s="5">
        <v>0</v>
      </c>
      <c r="M38" t="s">
        <v>162</v>
      </c>
      <c r="N38">
        <v>30.12536265828243</v>
      </c>
      <c r="O38">
        <v>-83.229005999999998</v>
      </c>
    </row>
  </sheetData>
  <conditionalFormatting sqref="D3:D38">
    <cfRule type="expression" dxfId="4" priority="1">
      <formula>$D3&lt;&gt;"measured"</formula>
    </cfRule>
  </conditionalFormatting>
  <conditionalFormatting sqref="J3:J38">
    <cfRule type="expression" dxfId="3" priority="2">
      <formula>LEN($J3)&gt;0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workbookViewId="0">
      <selection activeCell="D47" sqref="D47"/>
    </sheetView>
  </sheetViews>
  <sheetFormatPr baseColWidth="10" defaultColWidth="8.83203125" defaultRowHeight="14"/>
  <cols>
    <col min="1" max="1" width="14" customWidth="1"/>
    <col min="2" max="2" width="10" customWidth="1"/>
    <col min="3" max="3" width="16" customWidth="1"/>
    <col min="4" max="5" width="18" customWidth="1"/>
    <col min="6" max="6" width="22" customWidth="1"/>
    <col min="7" max="7" width="85.5" customWidth="1"/>
    <col min="8" max="8" width="44.5" customWidth="1"/>
    <col min="9" max="9" width="15" customWidth="1"/>
  </cols>
  <sheetData>
    <row r="1" spans="1:10" ht="32" customHeight="1">
      <c r="A1" s="12" t="s">
        <v>101</v>
      </c>
      <c r="B1" s="12" t="s">
        <v>4</v>
      </c>
      <c r="C1" s="12" t="s">
        <v>173</v>
      </c>
      <c r="D1" s="12" t="s">
        <v>174</v>
      </c>
      <c r="E1" s="12" t="s">
        <v>175</v>
      </c>
      <c r="F1" s="12" t="s">
        <v>176</v>
      </c>
      <c r="G1" s="12" t="s">
        <v>177</v>
      </c>
      <c r="H1" s="12" t="s">
        <v>11</v>
      </c>
      <c r="I1" s="12" t="s">
        <v>13</v>
      </c>
      <c r="J1" s="12" t="s">
        <v>14</v>
      </c>
    </row>
    <row r="2" spans="1:10" ht="15" customHeight="1">
      <c r="A2" s="7">
        <v>1</v>
      </c>
      <c r="B2" s="7" t="s">
        <v>57</v>
      </c>
      <c r="C2" s="7">
        <v>0.5</v>
      </c>
      <c r="D2" s="7">
        <v>-0.5</v>
      </c>
      <c r="E2" s="7">
        <v>1.5</v>
      </c>
      <c r="F2" s="7"/>
      <c r="G2" s="7" t="s">
        <v>178</v>
      </c>
      <c r="H2" s="7"/>
      <c r="I2" s="7" t="s">
        <v>22</v>
      </c>
      <c r="J2" s="7" t="s">
        <v>23</v>
      </c>
    </row>
    <row r="3" spans="1:10" ht="15" customHeight="1">
      <c r="A3" s="7">
        <v>2</v>
      </c>
      <c r="B3" s="7" t="s">
        <v>57</v>
      </c>
      <c r="C3" s="7">
        <v>2.5</v>
      </c>
      <c r="D3" s="7">
        <v>1.5</v>
      </c>
      <c r="E3" s="7">
        <v>3.5</v>
      </c>
      <c r="F3" s="7"/>
      <c r="G3" s="7" t="s">
        <v>178</v>
      </c>
      <c r="H3" s="7"/>
      <c r="I3" s="7" t="s">
        <v>22</v>
      </c>
      <c r="J3" s="7" t="s">
        <v>23</v>
      </c>
    </row>
    <row r="4" spans="1:10" ht="15" customHeight="1">
      <c r="A4" s="7">
        <v>3</v>
      </c>
      <c r="B4" s="7" t="s">
        <v>57</v>
      </c>
      <c r="C4" s="7">
        <v>4.5</v>
      </c>
      <c r="D4" s="7">
        <v>3.5</v>
      </c>
      <c r="E4" s="7">
        <v>5.5</v>
      </c>
      <c r="F4" s="7"/>
      <c r="G4" s="7" t="s">
        <v>178</v>
      </c>
      <c r="H4" s="7"/>
      <c r="I4" s="7" t="s">
        <v>22</v>
      </c>
      <c r="J4" s="7" t="s">
        <v>23</v>
      </c>
    </row>
    <row r="5" spans="1:10" ht="15" customHeight="1">
      <c r="A5" s="7">
        <v>4</v>
      </c>
      <c r="B5" s="7" t="s">
        <v>57</v>
      </c>
      <c r="C5" s="7">
        <v>6.5</v>
      </c>
      <c r="D5" s="7">
        <v>5.5</v>
      </c>
      <c r="E5" s="7">
        <v>7.5</v>
      </c>
      <c r="F5" s="7"/>
      <c r="G5" s="7" t="s">
        <v>178</v>
      </c>
      <c r="H5" s="7"/>
      <c r="I5" s="7" t="s">
        <v>22</v>
      </c>
      <c r="J5" s="7" t="s">
        <v>23</v>
      </c>
    </row>
    <row r="6" spans="1:10" ht="15" customHeight="1">
      <c r="A6" s="7">
        <v>5</v>
      </c>
      <c r="B6" s="7" t="s">
        <v>57</v>
      </c>
      <c r="C6" s="7">
        <v>8.5</v>
      </c>
      <c r="D6" s="7">
        <v>7.5</v>
      </c>
      <c r="E6" s="7">
        <v>9.5</v>
      </c>
      <c r="F6" s="7"/>
      <c r="G6" s="7" t="s">
        <v>178</v>
      </c>
      <c r="H6" s="7"/>
      <c r="I6" s="7" t="s">
        <v>22</v>
      </c>
      <c r="J6" s="7" t="s">
        <v>23</v>
      </c>
    </row>
    <row r="7" spans="1:10" ht="15" customHeight="1">
      <c r="A7" s="7">
        <v>6</v>
      </c>
      <c r="B7" s="7" t="s">
        <v>57</v>
      </c>
      <c r="C7" s="7">
        <v>10.5</v>
      </c>
      <c r="D7" s="7">
        <v>9.5</v>
      </c>
      <c r="E7" s="7">
        <v>11.5</v>
      </c>
      <c r="F7" s="7"/>
      <c r="G7" s="7" t="s">
        <v>178</v>
      </c>
      <c r="H7" s="7"/>
      <c r="I7" s="7" t="s">
        <v>22</v>
      </c>
      <c r="J7" s="7" t="s">
        <v>23</v>
      </c>
    </row>
    <row r="8" spans="1:10" ht="15" customHeight="1">
      <c r="A8" s="7">
        <v>7</v>
      </c>
      <c r="B8" s="7" t="s">
        <v>57</v>
      </c>
      <c r="C8" s="7">
        <v>12.5</v>
      </c>
      <c r="D8" s="7">
        <v>11.5</v>
      </c>
      <c r="E8" s="7">
        <v>13.5</v>
      </c>
      <c r="F8" s="7"/>
      <c r="G8" s="7" t="s">
        <v>178</v>
      </c>
      <c r="H8" s="7"/>
      <c r="I8" s="7" t="s">
        <v>22</v>
      </c>
      <c r="J8" s="7" t="s">
        <v>23</v>
      </c>
    </row>
    <row r="9" spans="1:10" ht="15" customHeight="1">
      <c r="A9" s="7">
        <v>8</v>
      </c>
      <c r="B9" s="7" t="s">
        <v>57</v>
      </c>
      <c r="C9" s="7">
        <v>14.5</v>
      </c>
      <c r="D9" s="7">
        <v>13.5</v>
      </c>
      <c r="E9" s="7">
        <v>15.5</v>
      </c>
      <c r="F9" s="7"/>
      <c r="G9" s="7" t="s">
        <v>178</v>
      </c>
      <c r="H9" s="7"/>
      <c r="I9" s="7" t="s">
        <v>22</v>
      </c>
      <c r="J9" s="7" t="s">
        <v>23</v>
      </c>
    </row>
    <row r="10" spans="1:10" ht="15" customHeight="1">
      <c r="A10" s="7">
        <v>9</v>
      </c>
      <c r="B10" s="7" t="s">
        <v>57</v>
      </c>
      <c r="C10" s="7">
        <v>16.5</v>
      </c>
      <c r="D10" s="7">
        <v>15.5</v>
      </c>
      <c r="E10" s="7">
        <v>17.5</v>
      </c>
      <c r="F10" s="7"/>
      <c r="G10" s="7" t="s">
        <v>178</v>
      </c>
      <c r="H10" s="7"/>
      <c r="I10" s="7" t="s">
        <v>22</v>
      </c>
      <c r="J10" s="7" t="s">
        <v>23</v>
      </c>
    </row>
    <row r="11" spans="1:10" ht="15" customHeight="1">
      <c r="A11" s="7">
        <v>10</v>
      </c>
      <c r="B11" s="7" t="s">
        <v>57</v>
      </c>
      <c r="C11" s="7">
        <v>18.5</v>
      </c>
      <c r="D11" s="7">
        <v>17.5</v>
      </c>
      <c r="E11" s="7">
        <v>19.5</v>
      </c>
      <c r="F11" s="7"/>
      <c r="G11" s="7" t="s">
        <v>178</v>
      </c>
      <c r="H11" s="7"/>
      <c r="I11" s="7" t="s">
        <v>22</v>
      </c>
      <c r="J11" s="7" t="s">
        <v>23</v>
      </c>
    </row>
    <row r="12" spans="1:10" ht="15" customHeight="1">
      <c r="A12" s="7">
        <v>11</v>
      </c>
      <c r="B12" s="7" t="s">
        <v>57</v>
      </c>
      <c r="C12" s="7">
        <v>20.5</v>
      </c>
      <c r="D12" s="7">
        <v>19.5</v>
      </c>
      <c r="E12" s="7">
        <v>21.5</v>
      </c>
      <c r="F12" s="7"/>
      <c r="G12" s="7" t="s">
        <v>178</v>
      </c>
      <c r="H12" s="7"/>
      <c r="I12" s="7" t="s">
        <v>22</v>
      </c>
      <c r="J12" s="7" t="s">
        <v>23</v>
      </c>
    </row>
    <row r="13" spans="1:10" ht="15" customHeight="1">
      <c r="A13" s="7">
        <v>12</v>
      </c>
      <c r="B13" s="7" t="s">
        <v>57</v>
      </c>
      <c r="C13" s="7">
        <v>22.5</v>
      </c>
      <c r="D13" s="7">
        <v>21.5</v>
      </c>
      <c r="E13" s="7">
        <v>23.5</v>
      </c>
      <c r="F13" s="7"/>
      <c r="G13" s="7" t="s">
        <v>178</v>
      </c>
      <c r="H13" s="7"/>
      <c r="I13" s="7" t="s">
        <v>22</v>
      </c>
      <c r="J13" s="7" t="s">
        <v>23</v>
      </c>
    </row>
    <row r="14" spans="1:10" ht="15" customHeight="1">
      <c r="A14" s="7">
        <v>13</v>
      </c>
      <c r="B14" s="7" t="s">
        <v>57</v>
      </c>
      <c r="C14" s="7">
        <v>24.5</v>
      </c>
      <c r="D14" s="7">
        <v>23.5</v>
      </c>
      <c r="E14" s="7">
        <v>25.5</v>
      </c>
      <c r="F14" s="7"/>
      <c r="G14" s="7" t="s">
        <v>178</v>
      </c>
      <c r="H14" s="7"/>
      <c r="I14" s="7" t="s">
        <v>22</v>
      </c>
      <c r="J14" s="7" t="s">
        <v>23</v>
      </c>
    </row>
    <row r="15" spans="1:10" ht="15" customHeight="1">
      <c r="A15" s="7">
        <v>14</v>
      </c>
      <c r="B15" s="7" t="s">
        <v>57</v>
      </c>
      <c r="C15" s="7">
        <v>26.5</v>
      </c>
      <c r="D15" s="7">
        <v>25.5</v>
      </c>
      <c r="E15" s="7">
        <v>27.5</v>
      </c>
      <c r="F15" s="7"/>
      <c r="G15" s="7" t="s">
        <v>178</v>
      </c>
      <c r="H15" s="7"/>
      <c r="I15" s="7" t="s">
        <v>22</v>
      </c>
      <c r="J15" s="7" t="s">
        <v>23</v>
      </c>
    </row>
    <row r="16" spans="1:10" ht="15" customHeight="1">
      <c r="A16" s="7">
        <v>15</v>
      </c>
      <c r="B16" s="7" t="s">
        <v>57</v>
      </c>
      <c r="C16" s="7">
        <v>28.5</v>
      </c>
      <c r="D16" s="7">
        <v>27.5</v>
      </c>
      <c r="E16" s="7">
        <v>29.5</v>
      </c>
      <c r="F16" s="7"/>
      <c r="G16" s="7" t="s">
        <v>178</v>
      </c>
      <c r="H16" s="7"/>
      <c r="I16" s="7" t="s">
        <v>22</v>
      </c>
      <c r="J16" s="7" t="s">
        <v>23</v>
      </c>
    </row>
    <row r="17" spans="1:10" ht="15" customHeight="1">
      <c r="A17" s="7">
        <v>16</v>
      </c>
      <c r="B17" s="7" t="s">
        <v>57</v>
      </c>
      <c r="C17" s="7">
        <v>30.5</v>
      </c>
      <c r="D17" s="7">
        <v>29.5</v>
      </c>
      <c r="E17" s="7">
        <v>31.5</v>
      </c>
      <c r="F17" s="7"/>
      <c r="G17" s="7" t="s">
        <v>178</v>
      </c>
      <c r="H17" s="7"/>
      <c r="I17" s="7" t="s">
        <v>22</v>
      </c>
      <c r="J17" s="7" t="s">
        <v>23</v>
      </c>
    </row>
    <row r="18" spans="1:10" ht="15" customHeight="1">
      <c r="A18" s="7">
        <v>17</v>
      </c>
      <c r="B18" s="7" t="s">
        <v>57</v>
      </c>
      <c r="C18" s="7">
        <v>32.5</v>
      </c>
      <c r="D18" s="7">
        <v>31.5</v>
      </c>
      <c r="E18" s="7">
        <v>33.5</v>
      </c>
      <c r="F18" s="7"/>
      <c r="G18" s="7" t="s">
        <v>178</v>
      </c>
      <c r="H18" s="7"/>
      <c r="I18" s="7" t="s">
        <v>22</v>
      </c>
      <c r="J18" s="7" t="s">
        <v>23</v>
      </c>
    </row>
    <row r="19" spans="1:10" ht="15" customHeight="1">
      <c r="A19" s="7">
        <v>18</v>
      </c>
      <c r="B19" s="7" t="s">
        <v>57</v>
      </c>
      <c r="C19" s="7">
        <v>34.5</v>
      </c>
      <c r="D19" s="7">
        <v>33.5</v>
      </c>
      <c r="E19" s="7">
        <v>35.5</v>
      </c>
      <c r="F19" s="7"/>
      <c r="G19" s="7" t="s">
        <v>178</v>
      </c>
      <c r="H19" s="7"/>
      <c r="I19" s="7" t="s">
        <v>22</v>
      </c>
      <c r="J19" s="7" t="s">
        <v>23</v>
      </c>
    </row>
    <row r="20" spans="1:10" ht="15" customHeight="1">
      <c r="A20" s="7">
        <v>19</v>
      </c>
      <c r="B20" s="7" t="s">
        <v>57</v>
      </c>
      <c r="C20" s="7">
        <v>36.5</v>
      </c>
      <c r="D20" s="7">
        <v>35.5</v>
      </c>
      <c r="E20" s="7">
        <v>37.5</v>
      </c>
      <c r="F20" s="7"/>
      <c r="G20" s="7" t="s">
        <v>178</v>
      </c>
      <c r="H20" s="7"/>
      <c r="I20" s="7" t="s">
        <v>22</v>
      </c>
      <c r="J20" s="7" t="s">
        <v>23</v>
      </c>
    </row>
    <row r="21" spans="1:10" ht="15" customHeight="1">
      <c r="A21" s="7">
        <v>20</v>
      </c>
      <c r="B21" s="7" t="s">
        <v>57</v>
      </c>
      <c r="C21" s="7">
        <v>38.5</v>
      </c>
      <c r="D21" s="7">
        <v>37.5</v>
      </c>
      <c r="E21" s="7">
        <v>39.5</v>
      </c>
      <c r="F21" s="7"/>
      <c r="G21" s="7" t="s">
        <v>178</v>
      </c>
      <c r="H21" s="7"/>
      <c r="I21" s="7" t="s">
        <v>22</v>
      </c>
      <c r="J21" s="7" t="s">
        <v>23</v>
      </c>
    </row>
    <row r="22" spans="1:10" ht="15" customHeight="1">
      <c r="A22" s="7">
        <v>21</v>
      </c>
      <c r="B22" s="7" t="s">
        <v>57</v>
      </c>
      <c r="C22" s="7">
        <v>40.5</v>
      </c>
      <c r="D22" s="7">
        <v>39.5</v>
      </c>
      <c r="E22" s="7">
        <v>41.5</v>
      </c>
      <c r="F22" s="7"/>
      <c r="G22" s="7" t="s">
        <v>178</v>
      </c>
      <c r="H22" s="7"/>
      <c r="I22" s="7" t="s">
        <v>22</v>
      </c>
      <c r="J22" s="7" t="s">
        <v>23</v>
      </c>
    </row>
    <row r="23" spans="1:10" ht="15" customHeight="1">
      <c r="A23" s="7">
        <v>22</v>
      </c>
      <c r="B23" s="7" t="s">
        <v>57</v>
      </c>
      <c r="C23" s="7">
        <v>42.5</v>
      </c>
      <c r="D23" s="7">
        <v>41.5</v>
      </c>
      <c r="E23" s="7">
        <v>43.5</v>
      </c>
      <c r="F23" s="7"/>
      <c r="G23" s="7" t="s">
        <v>178</v>
      </c>
      <c r="H23" s="7"/>
      <c r="I23" s="7" t="s">
        <v>22</v>
      </c>
      <c r="J23" s="7" t="s">
        <v>23</v>
      </c>
    </row>
    <row r="24" spans="1:10" ht="15" customHeight="1">
      <c r="A24" s="7">
        <v>23</v>
      </c>
      <c r="B24" s="7" t="s">
        <v>57</v>
      </c>
      <c r="C24" s="7">
        <v>44.5</v>
      </c>
      <c r="D24" s="7">
        <v>43.5</v>
      </c>
      <c r="E24" s="7">
        <v>45.5</v>
      </c>
      <c r="F24" s="7"/>
      <c r="G24" s="7" t="s">
        <v>178</v>
      </c>
      <c r="H24" s="7"/>
      <c r="I24" s="7" t="s">
        <v>22</v>
      </c>
      <c r="J24" s="7" t="s">
        <v>23</v>
      </c>
    </row>
    <row r="25" spans="1:10" ht="15" customHeight="1">
      <c r="A25" s="7">
        <v>24</v>
      </c>
      <c r="B25" s="7" t="s">
        <v>57</v>
      </c>
      <c r="C25" s="7">
        <v>46.5</v>
      </c>
      <c r="D25" s="7">
        <v>45.5</v>
      </c>
      <c r="E25" s="7">
        <v>47.5</v>
      </c>
      <c r="F25" s="7"/>
      <c r="G25" s="7" t="s">
        <v>178</v>
      </c>
      <c r="H25" s="7"/>
      <c r="I25" s="7" t="s">
        <v>22</v>
      </c>
      <c r="J25" s="7" t="s">
        <v>23</v>
      </c>
    </row>
    <row r="26" spans="1:10" ht="15" customHeight="1">
      <c r="A26" s="7">
        <v>25</v>
      </c>
      <c r="B26" s="7" t="s">
        <v>57</v>
      </c>
      <c r="C26" s="7">
        <v>48.5</v>
      </c>
      <c r="D26" s="7">
        <v>47.5</v>
      </c>
      <c r="E26" s="7">
        <v>49.5</v>
      </c>
      <c r="F26" s="7"/>
      <c r="G26" s="7" t="s">
        <v>178</v>
      </c>
      <c r="H26" s="7"/>
      <c r="I26" s="7" t="s">
        <v>22</v>
      </c>
      <c r="J26" s="7" t="s">
        <v>23</v>
      </c>
    </row>
    <row r="27" spans="1:10" ht="15" customHeight="1">
      <c r="A27" s="7">
        <v>26</v>
      </c>
      <c r="B27" s="7" t="s">
        <v>57</v>
      </c>
      <c r="C27" s="7">
        <v>50.5</v>
      </c>
      <c r="D27" s="7">
        <v>49.5</v>
      </c>
      <c r="E27" s="7">
        <v>51.5</v>
      </c>
      <c r="F27" s="7"/>
      <c r="G27" s="7" t="s">
        <v>178</v>
      </c>
      <c r="H27" s="7"/>
      <c r="I27" s="7" t="s">
        <v>22</v>
      </c>
      <c r="J27" s="7" t="s">
        <v>23</v>
      </c>
    </row>
    <row r="28" spans="1:10" ht="15" customHeight="1">
      <c r="A28" s="7">
        <v>27</v>
      </c>
      <c r="B28" s="7" t="s">
        <v>57</v>
      </c>
      <c r="C28" s="7">
        <v>52.5</v>
      </c>
      <c r="D28" s="7">
        <v>51.5</v>
      </c>
      <c r="E28" s="7">
        <v>53.5</v>
      </c>
      <c r="F28" s="7"/>
      <c r="G28" s="7" t="s">
        <v>178</v>
      </c>
      <c r="H28" s="7"/>
      <c r="I28" s="7" t="s">
        <v>22</v>
      </c>
      <c r="J28" s="7" t="s">
        <v>23</v>
      </c>
    </row>
    <row r="29" spans="1:10" ht="15" customHeight="1">
      <c r="A29" s="7">
        <v>28</v>
      </c>
      <c r="B29" s="7" t="s">
        <v>57</v>
      </c>
      <c r="C29" s="7">
        <v>54.5</v>
      </c>
      <c r="D29" s="7">
        <v>53.5</v>
      </c>
      <c r="E29" s="7">
        <v>55.5</v>
      </c>
      <c r="F29" s="7"/>
      <c r="G29" s="7" t="s">
        <v>178</v>
      </c>
      <c r="H29" s="7"/>
      <c r="I29" s="7" t="s">
        <v>22</v>
      </c>
      <c r="J29" s="7" t="s">
        <v>23</v>
      </c>
    </row>
    <row r="30" spans="1:10" ht="15" customHeight="1">
      <c r="A30" s="7">
        <v>29</v>
      </c>
      <c r="B30" s="7" t="s">
        <v>57</v>
      </c>
      <c r="C30" s="7">
        <v>56.5</v>
      </c>
      <c r="D30" s="7">
        <v>55.5</v>
      </c>
      <c r="E30" s="7">
        <v>57.5</v>
      </c>
      <c r="F30" s="7"/>
      <c r="G30" s="7" t="s">
        <v>178</v>
      </c>
      <c r="H30" s="7"/>
      <c r="I30" s="7" t="s">
        <v>22</v>
      </c>
      <c r="J30" s="7" t="s">
        <v>23</v>
      </c>
    </row>
    <row r="31" spans="1:10" ht="15" customHeight="1">
      <c r="A31" s="7">
        <v>30</v>
      </c>
      <c r="B31" s="7" t="s">
        <v>57</v>
      </c>
      <c r="C31" s="7">
        <v>58.5</v>
      </c>
      <c r="D31" s="7">
        <v>57.5</v>
      </c>
      <c r="E31" s="7">
        <v>59.5</v>
      </c>
      <c r="F31" s="7"/>
      <c r="G31" s="7" t="s">
        <v>178</v>
      </c>
      <c r="H31" s="7"/>
      <c r="I31" s="7" t="s">
        <v>22</v>
      </c>
      <c r="J31" s="7" t="s">
        <v>23</v>
      </c>
    </row>
    <row r="32" spans="1:10" ht="15" customHeight="1">
      <c r="A32" s="7">
        <v>31</v>
      </c>
      <c r="B32" s="7" t="s">
        <v>57</v>
      </c>
      <c r="C32" s="7">
        <v>60.5</v>
      </c>
      <c r="D32" s="7">
        <v>59.5</v>
      </c>
      <c r="E32" s="7">
        <v>61.5</v>
      </c>
      <c r="F32" s="7"/>
      <c r="G32" s="7" t="s">
        <v>178</v>
      </c>
      <c r="H32" s="7"/>
      <c r="I32" s="7" t="s">
        <v>22</v>
      </c>
      <c r="J32" s="7" t="s">
        <v>23</v>
      </c>
    </row>
    <row r="33" spans="1:10" ht="15" customHeight="1">
      <c r="A33" s="7">
        <v>32</v>
      </c>
      <c r="B33" s="7" t="s">
        <v>57</v>
      </c>
      <c r="C33" s="7">
        <v>62.5</v>
      </c>
      <c r="D33" s="7">
        <v>61.5</v>
      </c>
      <c r="E33" s="7">
        <v>63.5</v>
      </c>
      <c r="F33" s="7"/>
      <c r="G33" s="7" t="s">
        <v>178</v>
      </c>
      <c r="H33" s="7"/>
      <c r="I33" s="7" t="s">
        <v>22</v>
      </c>
      <c r="J33" s="7" t="s">
        <v>23</v>
      </c>
    </row>
    <row r="34" spans="1:10" ht="15" customHeight="1">
      <c r="A34" s="7">
        <v>33</v>
      </c>
      <c r="B34" s="7" t="s">
        <v>57</v>
      </c>
      <c r="C34" s="7">
        <v>64.5</v>
      </c>
      <c r="D34" s="7">
        <v>63.5</v>
      </c>
      <c r="E34" s="7">
        <v>65.5</v>
      </c>
      <c r="F34" s="7"/>
      <c r="G34" s="7" t="s">
        <v>178</v>
      </c>
      <c r="H34" s="7"/>
      <c r="I34" s="7" t="s">
        <v>22</v>
      </c>
      <c r="J34" s="7" t="s">
        <v>23</v>
      </c>
    </row>
    <row r="35" spans="1:10" ht="15" customHeight="1">
      <c r="A35" s="7">
        <v>34</v>
      </c>
      <c r="B35" s="7" t="s">
        <v>57</v>
      </c>
      <c r="C35" s="7">
        <v>66.5</v>
      </c>
      <c r="D35" s="7">
        <v>65.5</v>
      </c>
      <c r="E35" s="7">
        <v>67.5</v>
      </c>
      <c r="F35" s="7"/>
      <c r="G35" s="7" t="s">
        <v>178</v>
      </c>
      <c r="H35" s="7"/>
      <c r="I35" s="7" t="s">
        <v>22</v>
      </c>
      <c r="J35" s="7" t="s">
        <v>23</v>
      </c>
    </row>
    <row r="36" spans="1:10" ht="15" customHeight="1">
      <c r="A36" s="7">
        <v>35</v>
      </c>
      <c r="B36" s="7" t="s">
        <v>57</v>
      </c>
      <c r="C36" s="7">
        <v>68.5</v>
      </c>
      <c r="D36" s="7">
        <v>67.5</v>
      </c>
      <c r="E36" s="7">
        <v>69.5</v>
      </c>
      <c r="F36" s="7"/>
      <c r="G36" s="7" t="s">
        <v>178</v>
      </c>
      <c r="I36" s="7" t="s">
        <v>22</v>
      </c>
      <c r="J36" s="7" t="s">
        <v>23</v>
      </c>
    </row>
    <row r="37" spans="1:10" ht="120" customHeight="1">
      <c r="A37" s="7" t="s">
        <v>179</v>
      </c>
      <c r="B37" s="7" t="s">
        <v>57</v>
      </c>
      <c r="C37" s="7"/>
      <c r="D37" s="7"/>
      <c r="E37" s="7"/>
      <c r="F37" s="7"/>
      <c r="G37" s="7" t="s">
        <v>180</v>
      </c>
      <c r="H37" s="7" t="s">
        <v>181</v>
      </c>
      <c r="I37" s="7" t="s">
        <v>22</v>
      </c>
      <c r="J37" s="7" t="s">
        <v>23</v>
      </c>
    </row>
    <row r="38" spans="1:10" ht="75" customHeight="1">
      <c r="A38" s="7" t="s">
        <v>182</v>
      </c>
      <c r="B38" s="7" t="s">
        <v>57</v>
      </c>
      <c r="C38" s="7">
        <v>40.5</v>
      </c>
      <c r="D38" s="7"/>
      <c r="E38" s="7"/>
      <c r="F38" s="7"/>
      <c r="G38" s="7" t="s">
        <v>183</v>
      </c>
      <c r="H38" s="7" t="s">
        <v>184</v>
      </c>
      <c r="I38" s="7" t="s">
        <v>22</v>
      </c>
      <c r="J38" s="7" t="s">
        <v>23</v>
      </c>
    </row>
    <row r="41" spans="1:10">
      <c r="A41" s="1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0"/>
  <sheetViews>
    <sheetView workbookViewId="0"/>
  </sheetViews>
  <sheetFormatPr baseColWidth="10" defaultColWidth="8.83203125" defaultRowHeight="14"/>
  <cols>
    <col min="1" max="1" width="10" customWidth="1"/>
    <col min="2" max="3" width="20" customWidth="1"/>
    <col min="4" max="5" width="16" customWidth="1"/>
    <col min="6" max="6" width="14" customWidth="1"/>
    <col min="7" max="7" width="18" customWidth="1"/>
    <col min="8" max="8" width="22" customWidth="1"/>
    <col min="9" max="9" width="14" customWidth="1"/>
    <col min="10" max="10" width="20" customWidth="1"/>
    <col min="11" max="11" width="28" customWidth="1"/>
    <col min="12" max="12" width="32" customWidth="1"/>
    <col min="13" max="13" width="45" customWidth="1"/>
  </cols>
  <sheetData>
    <row r="1" spans="1:13" ht="32" customHeight="1">
      <c r="A1" s="2" t="s">
        <v>81</v>
      </c>
      <c r="B1" s="2" t="s">
        <v>185</v>
      </c>
      <c r="C1" s="2" t="s">
        <v>186</v>
      </c>
      <c r="D1" s="2" t="s">
        <v>85</v>
      </c>
      <c r="E1" s="2" t="s">
        <v>84</v>
      </c>
      <c r="F1" s="2" t="s">
        <v>101</v>
      </c>
      <c r="G1" s="2" t="s">
        <v>105</v>
      </c>
      <c r="H1" s="2" t="s">
        <v>106</v>
      </c>
      <c r="I1" s="2" t="s">
        <v>187</v>
      </c>
      <c r="J1" s="2" t="s">
        <v>104</v>
      </c>
      <c r="K1" s="2" t="s">
        <v>107</v>
      </c>
      <c r="L1" s="2" t="s">
        <v>188</v>
      </c>
      <c r="M1" s="2" t="s">
        <v>189</v>
      </c>
    </row>
    <row r="2" spans="1:13">
      <c r="A2">
        <v>1</v>
      </c>
      <c r="B2" s="3">
        <v>46158</v>
      </c>
      <c r="C2" s="3">
        <v>46159.666666666657</v>
      </c>
      <c r="D2" t="s">
        <v>16</v>
      </c>
      <c r="E2" t="s">
        <v>17</v>
      </c>
      <c r="F2">
        <v>0</v>
      </c>
      <c r="G2" t="s">
        <v>114</v>
      </c>
      <c r="H2" t="s">
        <v>114</v>
      </c>
      <c r="I2" s="5">
        <v>28</v>
      </c>
      <c r="J2" t="s">
        <v>113</v>
      </c>
      <c r="K2" t="s">
        <v>115</v>
      </c>
      <c r="L2" t="s">
        <v>190</v>
      </c>
      <c r="M2" t="s">
        <v>117</v>
      </c>
    </row>
    <row r="3" spans="1:13">
      <c r="A3">
        <v>1</v>
      </c>
      <c r="B3" s="3">
        <v>46158</v>
      </c>
      <c r="C3" s="3">
        <v>46159.666666666657</v>
      </c>
      <c r="D3" t="s">
        <v>16</v>
      </c>
      <c r="E3" t="s">
        <v>17</v>
      </c>
      <c r="F3">
        <v>1</v>
      </c>
      <c r="G3" t="s">
        <v>119</v>
      </c>
      <c r="H3" t="s">
        <v>119</v>
      </c>
      <c r="I3" s="5">
        <v>36</v>
      </c>
      <c r="J3" t="s">
        <v>118</v>
      </c>
      <c r="K3" t="s">
        <v>115</v>
      </c>
      <c r="L3" t="s">
        <v>190</v>
      </c>
    </row>
    <row r="4" spans="1:13">
      <c r="A4">
        <v>1</v>
      </c>
      <c r="B4" s="3">
        <v>46158</v>
      </c>
      <c r="C4" s="3">
        <v>46159.666666666657</v>
      </c>
      <c r="D4" t="s">
        <v>16</v>
      </c>
      <c r="E4" t="s">
        <v>17</v>
      </c>
      <c r="F4">
        <v>2</v>
      </c>
      <c r="G4" t="s">
        <v>120</v>
      </c>
      <c r="H4" t="s">
        <v>120</v>
      </c>
      <c r="I4" s="5">
        <v>44</v>
      </c>
      <c r="J4" t="s">
        <v>118</v>
      </c>
      <c r="K4" t="s">
        <v>115</v>
      </c>
      <c r="L4" t="s">
        <v>190</v>
      </c>
    </row>
    <row r="5" spans="1:13">
      <c r="A5">
        <v>1</v>
      </c>
      <c r="B5" s="3">
        <v>46158</v>
      </c>
      <c r="C5" s="3">
        <v>46159.666666666657</v>
      </c>
      <c r="D5" t="s">
        <v>16</v>
      </c>
      <c r="E5" t="s">
        <v>17</v>
      </c>
      <c r="F5">
        <v>3</v>
      </c>
      <c r="G5" t="s">
        <v>121</v>
      </c>
      <c r="H5" t="s">
        <v>121</v>
      </c>
      <c r="I5" s="5">
        <v>52.07</v>
      </c>
      <c r="J5" t="s">
        <v>118</v>
      </c>
      <c r="K5" t="s">
        <v>115</v>
      </c>
      <c r="L5" t="s">
        <v>190</v>
      </c>
    </row>
    <row r="6" spans="1:13">
      <c r="A6">
        <v>1</v>
      </c>
      <c r="B6" s="3">
        <v>46158</v>
      </c>
      <c r="C6" s="3">
        <v>46159.666666666657</v>
      </c>
      <c r="D6" t="s">
        <v>16</v>
      </c>
      <c r="E6" t="s">
        <v>17</v>
      </c>
      <c r="F6">
        <v>4</v>
      </c>
      <c r="G6" t="s">
        <v>122</v>
      </c>
      <c r="H6" t="s">
        <v>122</v>
      </c>
      <c r="I6" s="5">
        <v>60.04</v>
      </c>
      <c r="J6" t="s">
        <v>118</v>
      </c>
      <c r="K6" t="s">
        <v>115</v>
      </c>
      <c r="L6" t="s">
        <v>190</v>
      </c>
    </row>
    <row r="7" spans="1:13">
      <c r="A7">
        <v>1</v>
      </c>
      <c r="B7" s="3">
        <v>46158</v>
      </c>
      <c r="C7" s="3">
        <v>46159.666666666657</v>
      </c>
      <c r="D7" t="s">
        <v>16</v>
      </c>
      <c r="E7" t="s">
        <v>17</v>
      </c>
      <c r="F7">
        <v>5</v>
      </c>
      <c r="G7" t="s">
        <v>123</v>
      </c>
      <c r="H7" t="s">
        <v>123</v>
      </c>
      <c r="I7" s="5">
        <v>68.09</v>
      </c>
      <c r="J7" t="s">
        <v>118</v>
      </c>
      <c r="K7" t="s">
        <v>115</v>
      </c>
      <c r="L7" t="s">
        <v>190</v>
      </c>
    </row>
    <row r="8" spans="1:13">
      <c r="A8">
        <v>1</v>
      </c>
      <c r="B8" s="3">
        <v>46158</v>
      </c>
      <c r="C8" s="3">
        <v>46159.666666666657</v>
      </c>
      <c r="D8" t="s">
        <v>16</v>
      </c>
      <c r="E8" t="s">
        <v>17</v>
      </c>
      <c r="F8">
        <v>6</v>
      </c>
      <c r="G8" t="s">
        <v>124</v>
      </c>
      <c r="H8" t="s">
        <v>124</v>
      </c>
      <c r="I8" s="5">
        <v>76</v>
      </c>
      <c r="J8" t="s">
        <v>118</v>
      </c>
      <c r="K8" t="s">
        <v>115</v>
      </c>
      <c r="L8" t="s">
        <v>190</v>
      </c>
    </row>
    <row r="9" spans="1:13">
      <c r="A9">
        <v>1</v>
      </c>
      <c r="B9" s="3">
        <v>46158</v>
      </c>
      <c r="C9" s="3">
        <v>46159.666666666657</v>
      </c>
      <c r="D9" t="s">
        <v>16</v>
      </c>
      <c r="E9" t="s">
        <v>17</v>
      </c>
      <c r="F9">
        <v>7</v>
      </c>
      <c r="G9" t="s">
        <v>126</v>
      </c>
      <c r="H9" t="s">
        <v>126</v>
      </c>
      <c r="I9" s="5">
        <v>80.025000000000006</v>
      </c>
      <c r="J9" t="s">
        <v>125</v>
      </c>
      <c r="K9" t="s">
        <v>115</v>
      </c>
      <c r="L9" t="s">
        <v>190</v>
      </c>
      <c r="M9" t="s">
        <v>117</v>
      </c>
    </row>
    <row r="10" spans="1:13">
      <c r="A10">
        <v>1</v>
      </c>
      <c r="B10" s="3">
        <v>46158</v>
      </c>
      <c r="C10" s="3">
        <v>46159.666666666657</v>
      </c>
      <c r="D10" t="s">
        <v>16</v>
      </c>
      <c r="E10" t="s">
        <v>17</v>
      </c>
      <c r="F10">
        <v>8</v>
      </c>
      <c r="G10" t="s">
        <v>128</v>
      </c>
      <c r="H10" t="s">
        <v>128</v>
      </c>
      <c r="I10" s="5">
        <v>84.05</v>
      </c>
      <c r="J10" t="s">
        <v>125</v>
      </c>
      <c r="K10" t="s">
        <v>115</v>
      </c>
      <c r="L10" t="s">
        <v>190</v>
      </c>
      <c r="M10" t="s">
        <v>117</v>
      </c>
    </row>
    <row r="11" spans="1:13">
      <c r="A11">
        <v>1</v>
      </c>
      <c r="B11" s="3">
        <v>46158</v>
      </c>
      <c r="C11" s="3">
        <v>46159.666666666657</v>
      </c>
      <c r="D11" t="s">
        <v>16</v>
      </c>
      <c r="E11" t="s">
        <v>17</v>
      </c>
      <c r="F11">
        <v>9</v>
      </c>
      <c r="G11" t="s">
        <v>129</v>
      </c>
      <c r="H11" t="s">
        <v>129</v>
      </c>
      <c r="I11" s="5">
        <v>88.075000000000003</v>
      </c>
      <c r="J11" t="s">
        <v>125</v>
      </c>
      <c r="K11" t="s">
        <v>115</v>
      </c>
      <c r="L11" t="s">
        <v>190</v>
      </c>
      <c r="M11" t="s">
        <v>117</v>
      </c>
    </row>
    <row r="12" spans="1:13">
      <c r="A12">
        <v>1</v>
      </c>
      <c r="B12" s="3">
        <v>46158</v>
      </c>
      <c r="C12" s="3">
        <v>46159.666666666657</v>
      </c>
      <c r="D12" t="s">
        <v>16</v>
      </c>
      <c r="E12" t="s">
        <v>17</v>
      </c>
      <c r="F12">
        <v>10</v>
      </c>
      <c r="G12" t="s">
        <v>130</v>
      </c>
      <c r="H12" t="s">
        <v>130</v>
      </c>
      <c r="I12" s="5">
        <v>92.1</v>
      </c>
      <c r="J12" t="s">
        <v>118</v>
      </c>
      <c r="K12" t="s">
        <v>115</v>
      </c>
      <c r="L12" t="s">
        <v>190</v>
      </c>
    </row>
    <row r="13" spans="1:13">
      <c r="A13">
        <v>1</v>
      </c>
      <c r="B13" s="3">
        <v>46158</v>
      </c>
      <c r="C13" s="3">
        <v>46159.666666666657</v>
      </c>
      <c r="D13" t="s">
        <v>16</v>
      </c>
      <c r="E13" t="s">
        <v>17</v>
      </c>
      <c r="F13">
        <v>11</v>
      </c>
      <c r="G13" t="s">
        <v>131</v>
      </c>
      <c r="H13" t="s">
        <v>131</v>
      </c>
      <c r="I13" s="5">
        <v>96.05</v>
      </c>
      <c r="J13" t="s">
        <v>125</v>
      </c>
      <c r="K13" t="s">
        <v>115</v>
      </c>
      <c r="L13" t="s">
        <v>190</v>
      </c>
      <c r="M13" t="s">
        <v>117</v>
      </c>
    </row>
    <row r="14" spans="1:13">
      <c r="A14">
        <v>1</v>
      </c>
      <c r="B14" s="3">
        <v>46158</v>
      </c>
      <c r="C14" s="3">
        <v>46159.666666666657</v>
      </c>
      <c r="D14" t="s">
        <v>16</v>
      </c>
      <c r="E14" t="s">
        <v>17</v>
      </c>
      <c r="F14">
        <v>12</v>
      </c>
      <c r="G14" t="s">
        <v>133</v>
      </c>
      <c r="H14" t="s">
        <v>133</v>
      </c>
      <c r="I14" s="5">
        <v>100</v>
      </c>
      <c r="J14" t="s">
        <v>118</v>
      </c>
      <c r="K14" t="s">
        <v>115</v>
      </c>
      <c r="L14" t="s">
        <v>190</v>
      </c>
    </row>
    <row r="15" spans="1:13">
      <c r="A15">
        <v>1</v>
      </c>
      <c r="B15" s="3">
        <v>46158</v>
      </c>
      <c r="C15" s="3">
        <v>46159.666666666657</v>
      </c>
      <c r="D15" t="s">
        <v>16</v>
      </c>
      <c r="E15" t="s">
        <v>17</v>
      </c>
      <c r="F15">
        <v>13</v>
      </c>
      <c r="G15" t="s">
        <v>134</v>
      </c>
      <c r="H15" t="s">
        <v>134</v>
      </c>
      <c r="I15" s="5">
        <v>103.98</v>
      </c>
      <c r="J15" t="s">
        <v>118</v>
      </c>
      <c r="K15" t="s">
        <v>115</v>
      </c>
      <c r="L15" t="s">
        <v>190</v>
      </c>
    </row>
    <row r="16" spans="1:13">
      <c r="A16">
        <v>1</v>
      </c>
      <c r="B16" s="3">
        <v>46158</v>
      </c>
      <c r="C16" s="3">
        <v>46159.666666666657</v>
      </c>
      <c r="D16" t="s">
        <v>16</v>
      </c>
      <c r="E16" t="s">
        <v>17</v>
      </c>
      <c r="F16">
        <v>14</v>
      </c>
      <c r="G16" t="s">
        <v>135</v>
      </c>
      <c r="H16" t="s">
        <v>135</v>
      </c>
      <c r="I16" s="5">
        <v>108</v>
      </c>
      <c r="J16" t="s">
        <v>118</v>
      </c>
      <c r="K16" t="s">
        <v>115</v>
      </c>
      <c r="L16" t="s">
        <v>190</v>
      </c>
    </row>
    <row r="17" spans="1:12">
      <c r="A17">
        <v>1</v>
      </c>
      <c r="B17" s="3">
        <v>46158</v>
      </c>
      <c r="C17" s="3">
        <v>46159.666666666657</v>
      </c>
      <c r="D17" t="s">
        <v>16</v>
      </c>
      <c r="E17" t="s">
        <v>17</v>
      </c>
      <c r="F17">
        <v>15</v>
      </c>
      <c r="G17" t="s">
        <v>136</v>
      </c>
      <c r="H17" t="s">
        <v>136</v>
      </c>
      <c r="I17" s="5">
        <v>112.02</v>
      </c>
      <c r="J17" t="s">
        <v>118</v>
      </c>
      <c r="K17" t="s">
        <v>115</v>
      </c>
      <c r="L17" t="s">
        <v>190</v>
      </c>
    </row>
    <row r="18" spans="1:12">
      <c r="A18">
        <v>1</v>
      </c>
      <c r="B18" s="3">
        <v>46158</v>
      </c>
      <c r="C18" s="3">
        <v>46159.666666666657</v>
      </c>
      <c r="D18" t="s">
        <v>16</v>
      </c>
      <c r="E18" t="s">
        <v>17</v>
      </c>
      <c r="F18">
        <v>16</v>
      </c>
      <c r="G18" t="s">
        <v>137</v>
      </c>
      <c r="H18" t="s">
        <v>137</v>
      </c>
      <c r="I18" s="5">
        <v>116</v>
      </c>
      <c r="J18" t="s">
        <v>118</v>
      </c>
      <c r="K18" t="s">
        <v>115</v>
      </c>
      <c r="L18" t="s">
        <v>190</v>
      </c>
    </row>
    <row r="19" spans="1:12">
      <c r="A19">
        <v>1</v>
      </c>
      <c r="B19" s="3">
        <v>46158</v>
      </c>
      <c r="C19" s="3">
        <v>46159.666666666657</v>
      </c>
      <c r="D19" t="s">
        <v>16</v>
      </c>
      <c r="E19" t="s">
        <v>17</v>
      </c>
      <c r="F19">
        <v>17</v>
      </c>
      <c r="G19" t="s">
        <v>138</v>
      </c>
      <c r="H19" t="s">
        <v>138</v>
      </c>
      <c r="I19" s="5">
        <v>120.05</v>
      </c>
      <c r="J19" t="s">
        <v>118</v>
      </c>
      <c r="K19" t="s">
        <v>115</v>
      </c>
      <c r="L19" t="s">
        <v>190</v>
      </c>
    </row>
    <row r="20" spans="1:12">
      <c r="A20">
        <v>1</v>
      </c>
      <c r="B20" s="3">
        <v>46158</v>
      </c>
      <c r="C20" s="3">
        <v>46159.666666666657</v>
      </c>
      <c r="D20" t="s">
        <v>16</v>
      </c>
      <c r="E20" t="s">
        <v>17</v>
      </c>
      <c r="F20">
        <v>18</v>
      </c>
      <c r="G20" t="s">
        <v>139</v>
      </c>
      <c r="H20" t="s">
        <v>139</v>
      </c>
      <c r="I20" s="5">
        <v>124.02</v>
      </c>
      <c r="J20" t="s">
        <v>118</v>
      </c>
      <c r="K20" t="s">
        <v>115</v>
      </c>
      <c r="L20" t="s">
        <v>190</v>
      </c>
    </row>
    <row r="21" spans="1:12">
      <c r="A21">
        <v>1</v>
      </c>
      <c r="B21" s="3">
        <v>46158</v>
      </c>
      <c r="C21" s="3">
        <v>46159.666666666657</v>
      </c>
      <c r="D21" t="s">
        <v>16</v>
      </c>
      <c r="E21" t="s">
        <v>17</v>
      </c>
      <c r="F21">
        <v>19</v>
      </c>
      <c r="G21" t="s">
        <v>140</v>
      </c>
      <c r="H21" t="s">
        <v>140</v>
      </c>
      <c r="I21" s="5">
        <v>128.01</v>
      </c>
      <c r="J21" t="s">
        <v>118</v>
      </c>
      <c r="K21" t="s">
        <v>115</v>
      </c>
      <c r="L21" t="s">
        <v>190</v>
      </c>
    </row>
    <row r="22" spans="1:12">
      <c r="A22">
        <v>1</v>
      </c>
      <c r="B22" s="3">
        <v>46158</v>
      </c>
      <c r="C22" s="3">
        <v>46159.666666666657</v>
      </c>
      <c r="D22" t="s">
        <v>16</v>
      </c>
      <c r="E22" t="s">
        <v>17</v>
      </c>
      <c r="F22">
        <v>20</v>
      </c>
      <c r="G22" t="s">
        <v>141</v>
      </c>
      <c r="H22" t="s">
        <v>141</v>
      </c>
      <c r="I22" s="5">
        <v>132.02000000000001</v>
      </c>
      <c r="J22" t="s">
        <v>118</v>
      </c>
      <c r="K22" t="s">
        <v>115</v>
      </c>
      <c r="L22" t="s">
        <v>190</v>
      </c>
    </row>
    <row r="23" spans="1:12">
      <c r="A23">
        <v>1</v>
      </c>
      <c r="B23" s="3">
        <v>46158</v>
      </c>
      <c r="C23" s="3">
        <v>46159.666666666657</v>
      </c>
      <c r="D23" t="s">
        <v>16</v>
      </c>
      <c r="E23" t="s">
        <v>17</v>
      </c>
      <c r="F23">
        <v>21</v>
      </c>
      <c r="G23" t="s">
        <v>142</v>
      </c>
      <c r="H23" t="s">
        <v>142</v>
      </c>
      <c r="I23" s="5">
        <v>136.05000000000001</v>
      </c>
      <c r="J23" t="s">
        <v>118</v>
      </c>
      <c r="K23" t="s">
        <v>115</v>
      </c>
      <c r="L23" t="s">
        <v>190</v>
      </c>
    </row>
    <row r="24" spans="1:12">
      <c r="A24">
        <v>1</v>
      </c>
      <c r="B24" s="3">
        <v>46158</v>
      </c>
      <c r="C24" s="3">
        <v>46159.666666666657</v>
      </c>
      <c r="D24" t="s">
        <v>16</v>
      </c>
      <c r="E24" t="s">
        <v>17</v>
      </c>
      <c r="F24">
        <v>22</v>
      </c>
      <c r="G24" t="s">
        <v>143</v>
      </c>
      <c r="H24" t="s">
        <v>143</v>
      </c>
      <c r="I24" s="5">
        <v>140</v>
      </c>
      <c r="J24" t="s">
        <v>118</v>
      </c>
      <c r="K24" t="s">
        <v>115</v>
      </c>
      <c r="L24" t="s">
        <v>190</v>
      </c>
    </row>
    <row r="25" spans="1:12">
      <c r="A25">
        <v>1</v>
      </c>
      <c r="B25" s="3">
        <v>46158</v>
      </c>
      <c r="C25" s="3">
        <v>46159.666666666657</v>
      </c>
      <c r="D25" t="s">
        <v>16</v>
      </c>
      <c r="E25" t="s">
        <v>17</v>
      </c>
      <c r="F25">
        <v>23</v>
      </c>
      <c r="G25" t="s">
        <v>144</v>
      </c>
      <c r="H25" t="s">
        <v>144</v>
      </c>
      <c r="I25" s="5">
        <v>144</v>
      </c>
      <c r="J25" t="s">
        <v>118</v>
      </c>
      <c r="K25" t="s">
        <v>115</v>
      </c>
      <c r="L25" t="s">
        <v>190</v>
      </c>
    </row>
    <row r="26" spans="1:12">
      <c r="A26">
        <v>1</v>
      </c>
      <c r="B26" s="3">
        <v>46158</v>
      </c>
      <c r="C26" s="3">
        <v>46159.666666666657</v>
      </c>
      <c r="D26" t="s">
        <v>16</v>
      </c>
      <c r="E26" t="s">
        <v>17</v>
      </c>
      <c r="F26">
        <v>24</v>
      </c>
      <c r="G26" t="s">
        <v>145</v>
      </c>
      <c r="H26" t="s">
        <v>145</v>
      </c>
      <c r="I26" s="5">
        <v>148</v>
      </c>
      <c r="J26" t="s">
        <v>118</v>
      </c>
      <c r="K26" t="s">
        <v>115</v>
      </c>
      <c r="L26" t="s">
        <v>190</v>
      </c>
    </row>
    <row r="27" spans="1:12">
      <c r="A27">
        <v>1</v>
      </c>
      <c r="B27" s="3">
        <v>46158</v>
      </c>
      <c r="C27" s="3">
        <v>46159.666666666657</v>
      </c>
      <c r="D27" t="s">
        <v>16</v>
      </c>
      <c r="E27" t="s">
        <v>17</v>
      </c>
      <c r="F27">
        <v>25</v>
      </c>
      <c r="G27" t="s">
        <v>146</v>
      </c>
      <c r="H27" t="s">
        <v>146</v>
      </c>
      <c r="I27" s="5">
        <v>151.94999999999999</v>
      </c>
      <c r="J27" t="s">
        <v>118</v>
      </c>
      <c r="K27" t="s">
        <v>115</v>
      </c>
      <c r="L27" t="s">
        <v>190</v>
      </c>
    </row>
    <row r="28" spans="1:12">
      <c r="A28">
        <v>1</v>
      </c>
      <c r="B28" s="3">
        <v>46158</v>
      </c>
      <c r="C28" s="3">
        <v>46159.666666666657</v>
      </c>
      <c r="D28" t="s">
        <v>16</v>
      </c>
      <c r="E28" t="s">
        <v>17</v>
      </c>
      <c r="F28">
        <v>26</v>
      </c>
      <c r="G28" t="s">
        <v>147</v>
      </c>
      <c r="H28" t="s">
        <v>147</v>
      </c>
      <c r="I28" s="5">
        <v>155.96</v>
      </c>
      <c r="J28" t="s">
        <v>118</v>
      </c>
      <c r="K28" t="s">
        <v>115</v>
      </c>
      <c r="L28" t="s">
        <v>190</v>
      </c>
    </row>
    <row r="29" spans="1:12">
      <c r="A29">
        <v>1</v>
      </c>
      <c r="B29" s="3">
        <v>46158</v>
      </c>
      <c r="C29" s="3">
        <v>46159.666666666657</v>
      </c>
      <c r="D29" t="s">
        <v>16</v>
      </c>
      <c r="E29" t="s">
        <v>17</v>
      </c>
      <c r="F29">
        <v>27</v>
      </c>
      <c r="G29" t="s">
        <v>148</v>
      </c>
      <c r="H29" t="s">
        <v>148</v>
      </c>
      <c r="I29" s="5">
        <v>160</v>
      </c>
      <c r="J29" t="s">
        <v>118</v>
      </c>
      <c r="K29" t="s">
        <v>115</v>
      </c>
      <c r="L29" t="s">
        <v>190</v>
      </c>
    </row>
    <row r="30" spans="1:12">
      <c r="A30">
        <v>1</v>
      </c>
      <c r="B30" s="3">
        <v>46158</v>
      </c>
      <c r="C30" s="3">
        <v>46159.666666666657</v>
      </c>
      <c r="D30" t="s">
        <v>16</v>
      </c>
      <c r="E30" t="s">
        <v>17</v>
      </c>
      <c r="F30">
        <v>28</v>
      </c>
      <c r="G30" t="s">
        <v>149</v>
      </c>
      <c r="H30" t="s">
        <v>149</v>
      </c>
      <c r="I30" s="5">
        <v>164</v>
      </c>
      <c r="J30" t="s">
        <v>118</v>
      </c>
      <c r="K30" t="s">
        <v>115</v>
      </c>
      <c r="L30" t="s">
        <v>190</v>
      </c>
    </row>
    <row r="31" spans="1:12">
      <c r="A31">
        <v>1</v>
      </c>
      <c r="B31" s="3">
        <v>46158</v>
      </c>
      <c r="C31" s="3">
        <v>46159.666666666657</v>
      </c>
      <c r="D31" t="s">
        <v>16</v>
      </c>
      <c r="E31" t="s">
        <v>17</v>
      </c>
      <c r="F31">
        <v>29</v>
      </c>
      <c r="G31" t="s">
        <v>150</v>
      </c>
      <c r="H31" t="s">
        <v>150</v>
      </c>
      <c r="I31" s="5">
        <v>168.09</v>
      </c>
      <c r="J31" t="s">
        <v>118</v>
      </c>
      <c r="K31" t="s">
        <v>115</v>
      </c>
      <c r="L31" t="s">
        <v>190</v>
      </c>
    </row>
    <row r="32" spans="1:12">
      <c r="A32">
        <v>1</v>
      </c>
      <c r="B32" s="3">
        <v>46158</v>
      </c>
      <c r="C32" s="3">
        <v>46159.666666666657</v>
      </c>
      <c r="D32" t="s">
        <v>16</v>
      </c>
      <c r="E32" t="s">
        <v>17</v>
      </c>
      <c r="F32">
        <v>30</v>
      </c>
      <c r="G32" t="s">
        <v>151</v>
      </c>
      <c r="H32" t="s">
        <v>151</v>
      </c>
      <c r="I32" s="5">
        <v>176.04</v>
      </c>
      <c r="J32" t="s">
        <v>118</v>
      </c>
      <c r="K32" t="s">
        <v>115</v>
      </c>
      <c r="L32" t="s">
        <v>190</v>
      </c>
    </row>
    <row r="33" spans="1:13">
      <c r="A33">
        <v>1</v>
      </c>
      <c r="B33" s="3">
        <v>46158</v>
      </c>
      <c r="C33" s="3">
        <v>46159.666666666657</v>
      </c>
      <c r="D33" t="s">
        <v>16</v>
      </c>
      <c r="E33" t="s">
        <v>17</v>
      </c>
      <c r="F33">
        <v>31</v>
      </c>
      <c r="G33" t="s">
        <v>152</v>
      </c>
      <c r="H33" t="s">
        <v>152</v>
      </c>
      <c r="I33" s="5">
        <v>184.05</v>
      </c>
      <c r="J33" t="s">
        <v>118</v>
      </c>
      <c r="K33" t="s">
        <v>115</v>
      </c>
      <c r="L33" t="s">
        <v>190</v>
      </c>
    </row>
    <row r="34" spans="1:13">
      <c r="A34">
        <v>1</v>
      </c>
      <c r="B34" s="3">
        <v>46158</v>
      </c>
      <c r="C34" s="3">
        <v>46159.666666666657</v>
      </c>
      <c r="D34" t="s">
        <v>16</v>
      </c>
      <c r="E34" t="s">
        <v>17</v>
      </c>
      <c r="F34">
        <v>32</v>
      </c>
      <c r="G34" t="s">
        <v>153</v>
      </c>
      <c r="H34" t="s">
        <v>153</v>
      </c>
      <c r="I34" s="5">
        <v>192</v>
      </c>
      <c r="J34" t="s">
        <v>118</v>
      </c>
      <c r="K34" t="s">
        <v>115</v>
      </c>
      <c r="L34" t="s">
        <v>190</v>
      </c>
    </row>
    <row r="35" spans="1:13">
      <c r="A35">
        <v>1</v>
      </c>
      <c r="B35" s="3">
        <v>46158</v>
      </c>
      <c r="C35" s="3">
        <v>46159.666666666657</v>
      </c>
      <c r="D35" t="s">
        <v>16</v>
      </c>
      <c r="E35" t="s">
        <v>17</v>
      </c>
      <c r="F35">
        <v>33</v>
      </c>
      <c r="G35" t="s">
        <v>154</v>
      </c>
      <c r="H35" t="s">
        <v>154</v>
      </c>
      <c r="I35" s="5">
        <v>200</v>
      </c>
      <c r="J35" t="s">
        <v>118</v>
      </c>
      <c r="K35" t="s">
        <v>115</v>
      </c>
      <c r="L35" t="s">
        <v>190</v>
      </c>
    </row>
    <row r="36" spans="1:13">
      <c r="A36">
        <v>1</v>
      </c>
      <c r="B36" s="3">
        <v>46158</v>
      </c>
      <c r="C36" s="3">
        <v>46159.666666666657</v>
      </c>
      <c r="D36" t="s">
        <v>16</v>
      </c>
      <c r="E36" t="s">
        <v>17</v>
      </c>
      <c r="F36">
        <v>34</v>
      </c>
      <c r="G36" t="s">
        <v>155</v>
      </c>
      <c r="H36" t="s">
        <v>155</v>
      </c>
      <c r="I36" s="5">
        <v>208</v>
      </c>
      <c r="J36" t="s">
        <v>118</v>
      </c>
      <c r="K36" t="s">
        <v>115</v>
      </c>
      <c r="L36" t="s">
        <v>190</v>
      </c>
    </row>
    <row r="37" spans="1:13">
      <c r="A37">
        <v>1</v>
      </c>
      <c r="B37" s="3">
        <v>46158</v>
      </c>
      <c r="C37" s="3">
        <v>46159.666666666657</v>
      </c>
      <c r="D37" t="s">
        <v>16</v>
      </c>
      <c r="E37" t="s">
        <v>17</v>
      </c>
      <c r="F37">
        <v>35</v>
      </c>
      <c r="G37" t="s">
        <v>156</v>
      </c>
      <c r="H37" t="s">
        <v>156</v>
      </c>
      <c r="I37" s="5">
        <v>216</v>
      </c>
      <c r="J37" t="s">
        <v>118</v>
      </c>
      <c r="K37" t="s">
        <v>115</v>
      </c>
      <c r="L37" t="s">
        <v>190</v>
      </c>
    </row>
    <row r="38" spans="1:13">
      <c r="A38">
        <v>2</v>
      </c>
      <c r="B38" s="3">
        <v>46159.666666666657</v>
      </c>
      <c r="C38" s="3">
        <v>46161.555555555547</v>
      </c>
      <c r="D38" t="s">
        <v>16</v>
      </c>
      <c r="E38" t="s">
        <v>25</v>
      </c>
      <c r="F38">
        <v>0</v>
      </c>
      <c r="G38" t="s">
        <v>123</v>
      </c>
      <c r="H38" t="s">
        <v>123</v>
      </c>
      <c r="I38" s="5">
        <v>68.09</v>
      </c>
      <c r="J38" t="s">
        <v>118</v>
      </c>
      <c r="K38" t="s">
        <v>191</v>
      </c>
      <c r="L38" t="s">
        <v>91</v>
      </c>
    </row>
    <row r="39" spans="1:13">
      <c r="A39">
        <v>2</v>
      </c>
      <c r="B39" s="3">
        <v>46159.666666666657</v>
      </c>
      <c r="C39" s="3">
        <v>46161.555555555547</v>
      </c>
      <c r="D39" t="s">
        <v>16</v>
      </c>
      <c r="E39" t="s">
        <v>25</v>
      </c>
      <c r="F39">
        <v>1</v>
      </c>
      <c r="G39" t="s">
        <v>124</v>
      </c>
      <c r="H39" t="s">
        <v>124</v>
      </c>
      <c r="I39" s="5">
        <v>76</v>
      </c>
      <c r="J39" t="s">
        <v>118</v>
      </c>
      <c r="K39" t="s">
        <v>191</v>
      </c>
      <c r="L39" t="s">
        <v>91</v>
      </c>
    </row>
    <row r="40" spans="1:13">
      <c r="A40">
        <v>2</v>
      </c>
      <c r="B40" s="3">
        <v>46159.666666666657</v>
      </c>
      <c r="C40" s="3">
        <v>46161.555555555547</v>
      </c>
      <c r="D40" t="s">
        <v>16</v>
      </c>
      <c r="E40" t="s">
        <v>25</v>
      </c>
      <c r="F40">
        <v>2</v>
      </c>
      <c r="G40" t="s">
        <v>126</v>
      </c>
      <c r="H40" t="s">
        <v>126</v>
      </c>
      <c r="I40" s="5">
        <v>80.025000000000006</v>
      </c>
      <c r="J40" t="s">
        <v>125</v>
      </c>
      <c r="K40" t="s">
        <v>191</v>
      </c>
      <c r="L40" t="s">
        <v>91</v>
      </c>
      <c r="M40" t="s">
        <v>117</v>
      </c>
    </row>
    <row r="41" spans="1:13">
      <c r="A41">
        <v>2</v>
      </c>
      <c r="B41" s="3">
        <v>46159.666666666657</v>
      </c>
      <c r="C41" s="3">
        <v>46161.555555555547</v>
      </c>
      <c r="D41" t="s">
        <v>16</v>
      </c>
      <c r="E41" t="s">
        <v>25</v>
      </c>
      <c r="F41">
        <v>3</v>
      </c>
      <c r="G41" t="s">
        <v>128</v>
      </c>
      <c r="H41" t="s">
        <v>128</v>
      </c>
      <c r="I41" s="5">
        <v>84.05</v>
      </c>
      <c r="J41" t="s">
        <v>125</v>
      </c>
      <c r="K41" t="s">
        <v>191</v>
      </c>
      <c r="L41" t="s">
        <v>91</v>
      </c>
      <c r="M41" t="s">
        <v>117</v>
      </c>
    </row>
    <row r="42" spans="1:13">
      <c r="A42">
        <v>2</v>
      </c>
      <c r="B42" s="3">
        <v>46159.666666666657</v>
      </c>
      <c r="C42" s="3">
        <v>46161.555555555547</v>
      </c>
      <c r="D42" t="s">
        <v>16</v>
      </c>
      <c r="E42" t="s">
        <v>25</v>
      </c>
      <c r="F42">
        <v>4</v>
      </c>
      <c r="G42" t="s">
        <v>129</v>
      </c>
      <c r="H42" t="s">
        <v>129</v>
      </c>
      <c r="I42" s="5">
        <v>88.075000000000003</v>
      </c>
      <c r="J42" t="s">
        <v>125</v>
      </c>
      <c r="K42" t="s">
        <v>191</v>
      </c>
      <c r="L42" t="s">
        <v>91</v>
      </c>
      <c r="M42" t="s">
        <v>117</v>
      </c>
    </row>
    <row r="43" spans="1:13">
      <c r="A43">
        <v>2</v>
      </c>
      <c r="B43" s="3">
        <v>46159.666666666657</v>
      </c>
      <c r="C43" s="3">
        <v>46161.555555555547</v>
      </c>
      <c r="D43" t="s">
        <v>16</v>
      </c>
      <c r="E43" t="s">
        <v>25</v>
      </c>
      <c r="F43">
        <v>5</v>
      </c>
      <c r="G43" t="s">
        <v>130</v>
      </c>
      <c r="H43" t="s">
        <v>130</v>
      </c>
      <c r="I43" s="5">
        <v>92.1</v>
      </c>
      <c r="J43" t="s">
        <v>118</v>
      </c>
      <c r="K43" t="s">
        <v>191</v>
      </c>
      <c r="L43" t="s">
        <v>91</v>
      </c>
    </row>
    <row r="44" spans="1:13">
      <c r="A44">
        <v>2</v>
      </c>
      <c r="B44" s="3">
        <v>46159.666666666657</v>
      </c>
      <c r="C44" s="3">
        <v>46161.555555555547</v>
      </c>
      <c r="D44" t="s">
        <v>16</v>
      </c>
      <c r="E44" t="s">
        <v>25</v>
      </c>
      <c r="F44">
        <v>6</v>
      </c>
      <c r="G44" t="s">
        <v>131</v>
      </c>
      <c r="H44" t="s">
        <v>131</v>
      </c>
      <c r="I44" s="5">
        <v>96.05</v>
      </c>
      <c r="J44" t="s">
        <v>125</v>
      </c>
      <c r="K44" t="s">
        <v>191</v>
      </c>
      <c r="L44" t="s">
        <v>91</v>
      </c>
      <c r="M44" t="s">
        <v>117</v>
      </c>
    </row>
    <row r="45" spans="1:13">
      <c r="A45">
        <v>2</v>
      </c>
      <c r="B45" s="3">
        <v>46159.666666666657</v>
      </c>
      <c r="C45" s="3">
        <v>46161.555555555547</v>
      </c>
      <c r="D45" t="s">
        <v>16</v>
      </c>
      <c r="E45" t="s">
        <v>25</v>
      </c>
      <c r="F45">
        <v>7</v>
      </c>
      <c r="G45" t="s">
        <v>133</v>
      </c>
      <c r="H45" t="s">
        <v>133</v>
      </c>
      <c r="I45" s="5">
        <v>100</v>
      </c>
      <c r="J45" t="s">
        <v>118</v>
      </c>
      <c r="K45" t="s">
        <v>191</v>
      </c>
      <c r="L45" t="s">
        <v>91</v>
      </c>
    </row>
    <row r="46" spans="1:13">
      <c r="A46">
        <v>2</v>
      </c>
      <c r="B46" s="3">
        <v>46159.666666666657</v>
      </c>
      <c r="C46" s="3">
        <v>46161.555555555547</v>
      </c>
      <c r="D46" t="s">
        <v>16</v>
      </c>
      <c r="E46" t="s">
        <v>25</v>
      </c>
      <c r="F46">
        <v>8</v>
      </c>
      <c r="G46" t="s">
        <v>165</v>
      </c>
      <c r="H46" t="s">
        <v>134</v>
      </c>
      <c r="I46" s="5">
        <v>104.08</v>
      </c>
      <c r="J46" t="s">
        <v>118</v>
      </c>
      <c r="K46" t="s">
        <v>191</v>
      </c>
      <c r="L46" t="s">
        <v>91</v>
      </c>
      <c r="M46" t="s">
        <v>167</v>
      </c>
    </row>
    <row r="47" spans="1:13">
      <c r="A47">
        <v>2</v>
      </c>
      <c r="B47" s="3">
        <v>46159.666666666657</v>
      </c>
      <c r="C47" s="3">
        <v>46161.555555555547</v>
      </c>
      <c r="D47" t="s">
        <v>16</v>
      </c>
      <c r="E47" t="s">
        <v>25</v>
      </c>
      <c r="F47">
        <v>9</v>
      </c>
      <c r="G47" t="s">
        <v>155</v>
      </c>
      <c r="H47" t="s">
        <v>155</v>
      </c>
      <c r="I47" s="5">
        <v>106.03</v>
      </c>
      <c r="J47" t="s">
        <v>118</v>
      </c>
      <c r="K47" t="s">
        <v>191</v>
      </c>
      <c r="L47" t="s">
        <v>91</v>
      </c>
    </row>
    <row r="48" spans="1:13">
      <c r="A48">
        <v>2</v>
      </c>
      <c r="B48" s="3">
        <v>46159.666666666657</v>
      </c>
      <c r="C48" s="3">
        <v>46161.555555555547</v>
      </c>
      <c r="D48" t="s">
        <v>16</v>
      </c>
      <c r="E48" t="s">
        <v>25</v>
      </c>
      <c r="F48">
        <v>10</v>
      </c>
      <c r="G48" t="s">
        <v>135</v>
      </c>
      <c r="H48" t="s">
        <v>135</v>
      </c>
      <c r="I48" s="5">
        <v>108.14</v>
      </c>
      <c r="J48" t="s">
        <v>118</v>
      </c>
      <c r="K48" t="s">
        <v>191</v>
      </c>
      <c r="L48" t="s">
        <v>91</v>
      </c>
    </row>
    <row r="49" spans="1:13">
      <c r="A49">
        <v>2</v>
      </c>
      <c r="B49" s="3">
        <v>46159.666666666657</v>
      </c>
      <c r="C49" s="3">
        <v>46161.555555555547</v>
      </c>
      <c r="D49" t="s">
        <v>16</v>
      </c>
      <c r="E49" t="s">
        <v>25</v>
      </c>
      <c r="F49">
        <v>11</v>
      </c>
      <c r="G49" t="s">
        <v>122</v>
      </c>
      <c r="H49" t="s">
        <v>122</v>
      </c>
      <c r="I49" s="5">
        <v>110.05</v>
      </c>
      <c r="J49" t="s">
        <v>118</v>
      </c>
      <c r="K49" t="s">
        <v>191</v>
      </c>
      <c r="L49" t="s">
        <v>91</v>
      </c>
    </row>
    <row r="50" spans="1:13">
      <c r="A50">
        <v>2</v>
      </c>
      <c r="B50" s="3">
        <v>46159.666666666657</v>
      </c>
      <c r="C50" s="3">
        <v>46161.555555555547</v>
      </c>
      <c r="D50" t="s">
        <v>16</v>
      </c>
      <c r="E50" t="s">
        <v>25</v>
      </c>
      <c r="F50">
        <v>12</v>
      </c>
      <c r="G50" t="s">
        <v>136</v>
      </c>
      <c r="H50" t="s">
        <v>136</v>
      </c>
      <c r="I50" s="5">
        <v>112.15</v>
      </c>
      <c r="J50" t="s">
        <v>118</v>
      </c>
      <c r="K50" t="s">
        <v>191</v>
      </c>
      <c r="L50" t="s">
        <v>91</v>
      </c>
    </row>
    <row r="51" spans="1:13">
      <c r="A51">
        <v>2</v>
      </c>
      <c r="B51" s="3">
        <v>46159.666666666657</v>
      </c>
      <c r="C51" s="3">
        <v>46161.555555555547</v>
      </c>
      <c r="D51" t="s">
        <v>16</v>
      </c>
      <c r="E51" t="s">
        <v>25</v>
      </c>
      <c r="F51">
        <v>13</v>
      </c>
      <c r="G51" t="s">
        <v>121</v>
      </c>
      <c r="H51" t="s">
        <v>121</v>
      </c>
      <c r="I51" s="5">
        <v>114</v>
      </c>
      <c r="J51" t="s">
        <v>118</v>
      </c>
      <c r="K51" t="s">
        <v>191</v>
      </c>
      <c r="L51" t="s">
        <v>91</v>
      </c>
    </row>
    <row r="52" spans="1:13">
      <c r="A52">
        <v>2</v>
      </c>
      <c r="B52" s="3">
        <v>46159.666666666657</v>
      </c>
      <c r="C52" s="3">
        <v>46161.555555555547</v>
      </c>
      <c r="D52" t="s">
        <v>16</v>
      </c>
      <c r="E52" t="s">
        <v>25</v>
      </c>
      <c r="F52">
        <v>14</v>
      </c>
      <c r="G52" t="s">
        <v>137</v>
      </c>
      <c r="H52" t="s">
        <v>137</v>
      </c>
      <c r="I52" s="5">
        <v>116.11</v>
      </c>
      <c r="J52" t="s">
        <v>118</v>
      </c>
      <c r="K52" t="s">
        <v>191</v>
      </c>
      <c r="L52" t="s">
        <v>91</v>
      </c>
    </row>
    <row r="53" spans="1:13">
      <c r="A53">
        <v>2</v>
      </c>
      <c r="B53" s="3">
        <v>46159.666666666657</v>
      </c>
      <c r="C53" s="3">
        <v>46161.555555555547</v>
      </c>
      <c r="D53" t="s">
        <v>16</v>
      </c>
      <c r="E53" t="s">
        <v>25</v>
      </c>
      <c r="F53">
        <v>15</v>
      </c>
      <c r="G53" t="s">
        <v>154</v>
      </c>
      <c r="H53" t="s">
        <v>154</v>
      </c>
      <c r="I53" s="5">
        <v>117.97</v>
      </c>
      <c r="J53" t="s">
        <v>118</v>
      </c>
      <c r="K53" t="s">
        <v>191</v>
      </c>
      <c r="L53" t="s">
        <v>91</v>
      </c>
    </row>
    <row r="54" spans="1:13">
      <c r="A54">
        <v>2</v>
      </c>
      <c r="B54" s="3">
        <v>46159.666666666657</v>
      </c>
      <c r="C54" s="3">
        <v>46161.555555555547</v>
      </c>
      <c r="D54" t="s">
        <v>16</v>
      </c>
      <c r="E54" t="s">
        <v>25</v>
      </c>
      <c r="F54">
        <v>16</v>
      </c>
      <c r="G54" t="s">
        <v>170</v>
      </c>
      <c r="H54" t="s">
        <v>138</v>
      </c>
      <c r="I54" s="5">
        <v>120.18</v>
      </c>
      <c r="J54" t="s">
        <v>118</v>
      </c>
      <c r="K54" t="s">
        <v>191</v>
      </c>
      <c r="L54" t="s">
        <v>91</v>
      </c>
      <c r="M54" t="s">
        <v>167</v>
      </c>
    </row>
    <row r="55" spans="1:13">
      <c r="A55">
        <v>2</v>
      </c>
      <c r="B55" s="3">
        <v>46159.666666666657</v>
      </c>
      <c r="C55" s="3">
        <v>46161.555555555547</v>
      </c>
      <c r="D55" t="s">
        <v>16</v>
      </c>
      <c r="E55" t="s">
        <v>25</v>
      </c>
      <c r="F55">
        <v>17</v>
      </c>
      <c r="G55" t="s">
        <v>120</v>
      </c>
      <c r="H55" t="s">
        <v>120</v>
      </c>
      <c r="I55" s="5">
        <v>122.04</v>
      </c>
      <c r="J55" t="s">
        <v>118</v>
      </c>
      <c r="K55" t="s">
        <v>191</v>
      </c>
      <c r="L55" t="s">
        <v>91</v>
      </c>
    </row>
    <row r="56" spans="1:13">
      <c r="A56">
        <v>2</v>
      </c>
      <c r="B56" s="3">
        <v>46159.666666666657</v>
      </c>
      <c r="C56" s="3">
        <v>46161.555555555547</v>
      </c>
      <c r="D56" t="s">
        <v>16</v>
      </c>
      <c r="E56" t="s">
        <v>25</v>
      </c>
      <c r="F56">
        <v>18</v>
      </c>
      <c r="G56" t="s">
        <v>139</v>
      </c>
      <c r="H56" t="s">
        <v>139</v>
      </c>
      <c r="I56" s="5">
        <v>124.13</v>
      </c>
      <c r="J56" t="s">
        <v>118</v>
      </c>
      <c r="K56" t="s">
        <v>191</v>
      </c>
      <c r="L56" t="s">
        <v>91</v>
      </c>
    </row>
    <row r="57" spans="1:13">
      <c r="A57">
        <v>2</v>
      </c>
      <c r="B57" s="3">
        <v>46159.666666666657</v>
      </c>
      <c r="C57" s="3">
        <v>46161.555555555547</v>
      </c>
      <c r="D57" t="s">
        <v>16</v>
      </c>
      <c r="E57" t="s">
        <v>25</v>
      </c>
      <c r="F57">
        <v>19</v>
      </c>
      <c r="G57" t="s">
        <v>119</v>
      </c>
      <c r="H57" t="s">
        <v>119</v>
      </c>
      <c r="I57" s="5">
        <v>126.38</v>
      </c>
      <c r="J57" t="s">
        <v>118</v>
      </c>
      <c r="K57" t="s">
        <v>191</v>
      </c>
      <c r="L57" t="s">
        <v>91</v>
      </c>
    </row>
    <row r="58" spans="1:13">
      <c r="A58">
        <v>2</v>
      </c>
      <c r="B58" s="3">
        <v>46159.666666666657</v>
      </c>
      <c r="C58" s="3">
        <v>46161.555555555547</v>
      </c>
      <c r="D58" t="s">
        <v>16</v>
      </c>
      <c r="E58" t="s">
        <v>25</v>
      </c>
      <c r="F58">
        <v>20</v>
      </c>
      <c r="G58" t="s">
        <v>140</v>
      </c>
      <c r="H58" t="s">
        <v>140</v>
      </c>
      <c r="I58" s="5">
        <v>128.15</v>
      </c>
      <c r="J58" t="s">
        <v>118</v>
      </c>
      <c r="K58" t="s">
        <v>191</v>
      </c>
      <c r="L58" t="s">
        <v>91</v>
      </c>
    </row>
    <row r="59" spans="1:13">
      <c r="A59">
        <v>2</v>
      </c>
      <c r="B59" s="3">
        <v>46159.666666666657</v>
      </c>
      <c r="C59" s="3">
        <v>46161.555555555547</v>
      </c>
      <c r="D59" t="s">
        <v>16</v>
      </c>
      <c r="E59" t="s">
        <v>25</v>
      </c>
      <c r="F59">
        <v>21</v>
      </c>
      <c r="G59" t="s">
        <v>114</v>
      </c>
      <c r="H59" t="s">
        <v>114</v>
      </c>
      <c r="I59" s="5">
        <v>129.96</v>
      </c>
      <c r="J59" t="s">
        <v>118</v>
      </c>
      <c r="K59" t="s">
        <v>191</v>
      </c>
      <c r="L59" t="s">
        <v>91</v>
      </c>
    </row>
    <row r="60" spans="1:13">
      <c r="A60">
        <v>2</v>
      </c>
      <c r="B60" s="3">
        <v>46159.666666666657</v>
      </c>
      <c r="C60" s="3">
        <v>46161.555555555547</v>
      </c>
      <c r="D60" t="s">
        <v>16</v>
      </c>
      <c r="E60" t="s">
        <v>25</v>
      </c>
      <c r="F60">
        <v>22</v>
      </c>
      <c r="G60" t="s">
        <v>141</v>
      </c>
      <c r="H60" t="s">
        <v>141</v>
      </c>
      <c r="I60" s="5">
        <v>132.16</v>
      </c>
      <c r="J60" t="s">
        <v>118</v>
      </c>
      <c r="K60" t="s">
        <v>191</v>
      </c>
      <c r="L60" t="s">
        <v>91</v>
      </c>
    </row>
    <row r="61" spans="1:13">
      <c r="A61">
        <v>2</v>
      </c>
      <c r="B61" s="3">
        <v>46159.666666666657</v>
      </c>
      <c r="C61" s="3">
        <v>46161.555555555547</v>
      </c>
      <c r="D61" t="s">
        <v>16</v>
      </c>
      <c r="E61" t="s">
        <v>25</v>
      </c>
      <c r="F61">
        <v>23</v>
      </c>
      <c r="G61" t="s">
        <v>153</v>
      </c>
      <c r="H61" t="s">
        <v>153</v>
      </c>
      <c r="I61" s="5">
        <v>134.02000000000001</v>
      </c>
      <c r="J61" t="s">
        <v>118</v>
      </c>
      <c r="K61" t="s">
        <v>191</v>
      </c>
      <c r="L61" t="s">
        <v>91</v>
      </c>
    </row>
    <row r="62" spans="1:13">
      <c r="A62">
        <v>2</v>
      </c>
      <c r="B62" s="3">
        <v>46159.666666666657</v>
      </c>
      <c r="C62" s="3">
        <v>46161.555555555547</v>
      </c>
      <c r="D62" t="s">
        <v>16</v>
      </c>
      <c r="E62" t="s">
        <v>25</v>
      </c>
      <c r="F62">
        <v>24</v>
      </c>
      <c r="G62" t="s">
        <v>142</v>
      </c>
      <c r="H62" t="s">
        <v>142</v>
      </c>
      <c r="I62" s="5">
        <v>136.19999999999999</v>
      </c>
      <c r="J62" t="s">
        <v>118</v>
      </c>
      <c r="K62" t="s">
        <v>191</v>
      </c>
      <c r="L62" t="s">
        <v>91</v>
      </c>
    </row>
    <row r="63" spans="1:13">
      <c r="A63">
        <v>2</v>
      </c>
      <c r="B63" s="3">
        <v>46159.666666666657</v>
      </c>
      <c r="C63" s="3">
        <v>46161.555555555547</v>
      </c>
      <c r="D63" t="s">
        <v>16</v>
      </c>
      <c r="E63" t="s">
        <v>25</v>
      </c>
      <c r="F63">
        <v>25</v>
      </c>
      <c r="G63" t="s">
        <v>156</v>
      </c>
      <c r="H63" t="s">
        <v>156</v>
      </c>
      <c r="I63" s="5">
        <v>137.82</v>
      </c>
      <c r="J63" t="s">
        <v>118</v>
      </c>
      <c r="K63" t="s">
        <v>191</v>
      </c>
      <c r="L63" t="s">
        <v>91</v>
      </c>
    </row>
    <row r="64" spans="1:13">
      <c r="A64">
        <v>2</v>
      </c>
      <c r="B64" s="3">
        <v>46159.666666666657</v>
      </c>
      <c r="C64" s="3">
        <v>46161.555555555547</v>
      </c>
      <c r="D64" t="s">
        <v>16</v>
      </c>
      <c r="E64" t="s">
        <v>25</v>
      </c>
      <c r="F64">
        <v>26</v>
      </c>
      <c r="G64" t="s">
        <v>143</v>
      </c>
      <c r="H64" t="s">
        <v>143</v>
      </c>
      <c r="I64" s="5">
        <v>140</v>
      </c>
      <c r="J64" t="s">
        <v>118</v>
      </c>
      <c r="K64" t="s">
        <v>191</v>
      </c>
      <c r="L64" t="s">
        <v>91</v>
      </c>
    </row>
    <row r="65" spans="1:13">
      <c r="A65">
        <v>2</v>
      </c>
      <c r="B65" s="3">
        <v>46159.666666666657</v>
      </c>
      <c r="C65" s="3">
        <v>46161.555555555547</v>
      </c>
      <c r="D65" t="s">
        <v>16</v>
      </c>
      <c r="E65" t="s">
        <v>25</v>
      </c>
      <c r="F65">
        <v>27</v>
      </c>
      <c r="G65" t="s">
        <v>144</v>
      </c>
      <c r="H65" t="s">
        <v>144</v>
      </c>
      <c r="I65" s="5">
        <v>144</v>
      </c>
      <c r="J65" t="s">
        <v>118</v>
      </c>
      <c r="K65" t="s">
        <v>191</v>
      </c>
      <c r="L65" t="s">
        <v>91</v>
      </c>
    </row>
    <row r="66" spans="1:13">
      <c r="A66">
        <v>2</v>
      </c>
      <c r="B66" s="3">
        <v>46159.666666666657</v>
      </c>
      <c r="C66" s="3">
        <v>46161.555555555547</v>
      </c>
      <c r="D66" t="s">
        <v>16</v>
      </c>
      <c r="E66" t="s">
        <v>25</v>
      </c>
      <c r="F66">
        <v>28</v>
      </c>
      <c r="G66" t="s">
        <v>145</v>
      </c>
      <c r="H66" t="s">
        <v>145</v>
      </c>
      <c r="I66" s="5">
        <v>148</v>
      </c>
      <c r="J66" t="s">
        <v>118</v>
      </c>
      <c r="K66" t="s">
        <v>191</v>
      </c>
      <c r="L66" t="s">
        <v>91</v>
      </c>
    </row>
    <row r="67" spans="1:13">
      <c r="A67">
        <v>2</v>
      </c>
      <c r="B67" s="3">
        <v>46159.666666666657</v>
      </c>
      <c r="C67" s="3">
        <v>46161.555555555547</v>
      </c>
      <c r="D67" t="s">
        <v>16</v>
      </c>
      <c r="E67" t="s">
        <v>25</v>
      </c>
      <c r="F67">
        <v>29</v>
      </c>
      <c r="G67" t="s">
        <v>146</v>
      </c>
      <c r="H67" t="s">
        <v>146</v>
      </c>
      <c r="I67" s="5">
        <v>151.94999999999999</v>
      </c>
      <c r="J67" t="s">
        <v>118</v>
      </c>
      <c r="K67" t="s">
        <v>191</v>
      </c>
      <c r="L67" t="s">
        <v>91</v>
      </c>
    </row>
    <row r="68" spans="1:13">
      <c r="A68">
        <v>2</v>
      </c>
      <c r="B68" s="3">
        <v>46159.666666666657</v>
      </c>
      <c r="C68" s="3">
        <v>46161.555555555547</v>
      </c>
      <c r="D68" t="s">
        <v>16</v>
      </c>
      <c r="E68" t="s">
        <v>25</v>
      </c>
      <c r="F68">
        <v>30</v>
      </c>
      <c r="G68" t="s">
        <v>147</v>
      </c>
      <c r="H68" t="s">
        <v>147</v>
      </c>
      <c r="I68" s="5">
        <v>155.96</v>
      </c>
      <c r="J68" t="s">
        <v>118</v>
      </c>
      <c r="K68" t="s">
        <v>191</v>
      </c>
      <c r="L68" t="s">
        <v>91</v>
      </c>
    </row>
    <row r="69" spans="1:13">
      <c r="A69">
        <v>2</v>
      </c>
      <c r="B69" s="3">
        <v>46159.666666666657</v>
      </c>
      <c r="C69" s="3">
        <v>46161.555555555547</v>
      </c>
      <c r="D69" t="s">
        <v>16</v>
      </c>
      <c r="E69" t="s">
        <v>25</v>
      </c>
      <c r="F69">
        <v>31</v>
      </c>
      <c r="G69" t="s">
        <v>148</v>
      </c>
      <c r="H69" t="s">
        <v>148</v>
      </c>
      <c r="I69" s="5">
        <v>160</v>
      </c>
      <c r="J69" t="s">
        <v>118</v>
      </c>
      <c r="K69" t="s">
        <v>191</v>
      </c>
      <c r="L69" t="s">
        <v>91</v>
      </c>
    </row>
    <row r="70" spans="1:13">
      <c r="A70">
        <v>2</v>
      </c>
      <c r="B70" s="3">
        <v>46159.666666666657</v>
      </c>
      <c r="C70" s="3">
        <v>46161.555555555547</v>
      </c>
      <c r="D70" t="s">
        <v>16</v>
      </c>
      <c r="E70" t="s">
        <v>25</v>
      </c>
      <c r="F70">
        <v>32</v>
      </c>
      <c r="G70" t="s">
        <v>149</v>
      </c>
      <c r="H70" t="s">
        <v>149</v>
      </c>
      <c r="I70" s="5">
        <v>164</v>
      </c>
      <c r="J70" t="s">
        <v>118</v>
      </c>
      <c r="K70" t="s">
        <v>191</v>
      </c>
      <c r="L70" t="s">
        <v>91</v>
      </c>
    </row>
    <row r="71" spans="1:13">
      <c r="A71">
        <v>2</v>
      </c>
      <c r="B71" s="3">
        <v>46159.666666666657</v>
      </c>
      <c r="C71" s="3">
        <v>46161.555555555547</v>
      </c>
      <c r="D71" t="s">
        <v>16</v>
      </c>
      <c r="E71" t="s">
        <v>25</v>
      </c>
      <c r="F71">
        <v>33</v>
      </c>
      <c r="G71" t="s">
        <v>150</v>
      </c>
      <c r="H71" t="s">
        <v>150</v>
      </c>
      <c r="I71" s="5">
        <v>168.09</v>
      </c>
      <c r="J71" t="s">
        <v>118</v>
      </c>
      <c r="K71" t="s">
        <v>191</v>
      </c>
      <c r="L71" t="s">
        <v>91</v>
      </c>
    </row>
    <row r="72" spans="1:13">
      <c r="A72">
        <v>2</v>
      </c>
      <c r="B72" s="3">
        <v>46159.666666666657</v>
      </c>
      <c r="C72" s="3">
        <v>46161.555555555547</v>
      </c>
      <c r="D72" t="s">
        <v>16</v>
      </c>
      <c r="E72" t="s">
        <v>25</v>
      </c>
      <c r="F72">
        <v>34</v>
      </c>
      <c r="G72" t="s">
        <v>151</v>
      </c>
      <c r="H72" t="s">
        <v>151</v>
      </c>
      <c r="I72" s="5">
        <v>176.04</v>
      </c>
      <c r="J72" t="s">
        <v>118</v>
      </c>
      <c r="K72" t="s">
        <v>191</v>
      </c>
      <c r="L72" t="s">
        <v>91</v>
      </c>
    </row>
    <row r="73" spans="1:13">
      <c r="A73">
        <v>2</v>
      </c>
      <c r="B73" s="3">
        <v>46159.666666666657</v>
      </c>
      <c r="C73" s="3">
        <v>46161.555555555547</v>
      </c>
      <c r="D73" t="s">
        <v>16</v>
      </c>
      <c r="E73" t="s">
        <v>25</v>
      </c>
      <c r="F73">
        <v>35</v>
      </c>
      <c r="G73" t="s">
        <v>152</v>
      </c>
      <c r="H73" t="s">
        <v>152</v>
      </c>
      <c r="I73" s="5">
        <v>184.05</v>
      </c>
      <c r="J73" t="s">
        <v>118</v>
      </c>
      <c r="K73" t="s">
        <v>191</v>
      </c>
      <c r="L73" t="s">
        <v>91</v>
      </c>
    </row>
    <row r="74" spans="1:13">
      <c r="A74">
        <v>3</v>
      </c>
      <c r="B74" s="3">
        <v>46161.555555555547</v>
      </c>
      <c r="C74" s="3">
        <v>46161.625</v>
      </c>
      <c r="D74" t="s">
        <v>16</v>
      </c>
      <c r="E74" t="s">
        <v>17</v>
      </c>
      <c r="F74">
        <v>0</v>
      </c>
      <c r="G74" t="s">
        <v>114</v>
      </c>
      <c r="H74" t="s">
        <v>114</v>
      </c>
      <c r="I74" s="5">
        <v>28</v>
      </c>
      <c r="J74" t="s">
        <v>113</v>
      </c>
      <c r="K74" t="s">
        <v>115</v>
      </c>
      <c r="L74" t="s">
        <v>192</v>
      </c>
      <c r="M74" t="s">
        <v>117</v>
      </c>
    </row>
    <row r="75" spans="1:13">
      <c r="A75">
        <v>3</v>
      </c>
      <c r="B75" s="3">
        <v>46161.555555555547</v>
      </c>
      <c r="C75" s="3">
        <v>46161.625</v>
      </c>
      <c r="D75" t="s">
        <v>16</v>
      </c>
      <c r="E75" t="s">
        <v>17</v>
      </c>
      <c r="F75">
        <v>1</v>
      </c>
      <c r="G75" t="s">
        <v>119</v>
      </c>
      <c r="H75" t="s">
        <v>119</v>
      </c>
      <c r="I75" s="5">
        <v>36</v>
      </c>
      <c r="J75" t="s">
        <v>118</v>
      </c>
      <c r="K75" t="s">
        <v>115</v>
      </c>
      <c r="L75" t="s">
        <v>192</v>
      </c>
    </row>
    <row r="76" spans="1:13">
      <c r="A76">
        <v>3</v>
      </c>
      <c r="B76" s="3">
        <v>46161.555555555547</v>
      </c>
      <c r="C76" s="3">
        <v>46161.625</v>
      </c>
      <c r="D76" t="s">
        <v>16</v>
      </c>
      <c r="E76" t="s">
        <v>17</v>
      </c>
      <c r="F76">
        <v>2</v>
      </c>
      <c r="G76" t="s">
        <v>120</v>
      </c>
      <c r="H76" t="s">
        <v>120</v>
      </c>
      <c r="I76" s="5">
        <v>44</v>
      </c>
      <c r="J76" t="s">
        <v>118</v>
      </c>
      <c r="K76" t="s">
        <v>115</v>
      </c>
      <c r="L76" t="s">
        <v>192</v>
      </c>
    </row>
    <row r="77" spans="1:13">
      <c r="A77">
        <v>3</v>
      </c>
      <c r="B77" s="3">
        <v>46161.555555555547</v>
      </c>
      <c r="C77" s="3">
        <v>46161.625</v>
      </c>
      <c r="D77" t="s">
        <v>16</v>
      </c>
      <c r="E77" t="s">
        <v>17</v>
      </c>
      <c r="F77">
        <v>3</v>
      </c>
      <c r="G77" t="s">
        <v>121</v>
      </c>
      <c r="H77" t="s">
        <v>121</v>
      </c>
      <c r="I77" s="5">
        <v>52.07</v>
      </c>
      <c r="J77" t="s">
        <v>118</v>
      </c>
      <c r="K77" t="s">
        <v>115</v>
      </c>
      <c r="L77" t="s">
        <v>192</v>
      </c>
    </row>
    <row r="78" spans="1:13">
      <c r="A78">
        <v>3</v>
      </c>
      <c r="B78" s="3">
        <v>46161.555555555547</v>
      </c>
      <c r="C78" s="3">
        <v>46161.625</v>
      </c>
      <c r="D78" t="s">
        <v>16</v>
      </c>
      <c r="E78" t="s">
        <v>17</v>
      </c>
      <c r="F78">
        <v>4</v>
      </c>
      <c r="G78" t="s">
        <v>122</v>
      </c>
      <c r="H78" t="s">
        <v>122</v>
      </c>
      <c r="I78" s="5">
        <v>60.04</v>
      </c>
      <c r="J78" t="s">
        <v>118</v>
      </c>
      <c r="K78" t="s">
        <v>115</v>
      </c>
      <c r="L78" t="s">
        <v>192</v>
      </c>
    </row>
    <row r="79" spans="1:13">
      <c r="A79">
        <v>3</v>
      </c>
      <c r="B79" s="3">
        <v>46161.555555555547</v>
      </c>
      <c r="C79" s="3">
        <v>46161.625</v>
      </c>
      <c r="D79" t="s">
        <v>16</v>
      </c>
      <c r="E79" t="s">
        <v>17</v>
      </c>
      <c r="F79">
        <v>5</v>
      </c>
      <c r="G79" t="s">
        <v>123</v>
      </c>
      <c r="H79" t="s">
        <v>123</v>
      </c>
      <c r="I79" s="5">
        <v>68.09</v>
      </c>
      <c r="J79" t="s">
        <v>118</v>
      </c>
      <c r="K79" t="s">
        <v>115</v>
      </c>
      <c r="L79" t="s">
        <v>192</v>
      </c>
    </row>
    <row r="80" spans="1:13">
      <c r="A80">
        <v>3</v>
      </c>
      <c r="B80" s="3">
        <v>46161.555555555547</v>
      </c>
      <c r="C80" s="3">
        <v>46161.625</v>
      </c>
      <c r="D80" t="s">
        <v>16</v>
      </c>
      <c r="E80" t="s">
        <v>17</v>
      </c>
      <c r="F80">
        <v>6</v>
      </c>
      <c r="G80" t="s">
        <v>124</v>
      </c>
      <c r="H80" t="s">
        <v>124</v>
      </c>
      <c r="I80" s="5">
        <v>76</v>
      </c>
      <c r="J80" t="s">
        <v>118</v>
      </c>
      <c r="K80" t="s">
        <v>115</v>
      </c>
      <c r="L80" t="s">
        <v>192</v>
      </c>
    </row>
    <row r="81" spans="1:13">
      <c r="A81">
        <v>3</v>
      </c>
      <c r="B81" s="3">
        <v>46161.555555555547</v>
      </c>
      <c r="C81" s="3">
        <v>46161.625</v>
      </c>
      <c r="D81" t="s">
        <v>16</v>
      </c>
      <c r="E81" t="s">
        <v>17</v>
      </c>
      <c r="F81">
        <v>7</v>
      </c>
      <c r="G81" t="s">
        <v>126</v>
      </c>
      <c r="H81" t="s">
        <v>126</v>
      </c>
      <c r="I81" s="5">
        <v>80.025000000000006</v>
      </c>
      <c r="J81" t="s">
        <v>125</v>
      </c>
      <c r="K81" t="s">
        <v>115</v>
      </c>
      <c r="L81" t="s">
        <v>192</v>
      </c>
      <c r="M81" t="s">
        <v>117</v>
      </c>
    </row>
    <row r="82" spans="1:13">
      <c r="A82">
        <v>3</v>
      </c>
      <c r="B82" s="3">
        <v>46161.555555555547</v>
      </c>
      <c r="C82" s="3">
        <v>46161.625</v>
      </c>
      <c r="D82" t="s">
        <v>16</v>
      </c>
      <c r="E82" t="s">
        <v>17</v>
      </c>
      <c r="F82">
        <v>8</v>
      </c>
      <c r="G82" t="s">
        <v>128</v>
      </c>
      <c r="H82" t="s">
        <v>128</v>
      </c>
      <c r="I82" s="5">
        <v>84.05</v>
      </c>
      <c r="J82" t="s">
        <v>125</v>
      </c>
      <c r="K82" t="s">
        <v>115</v>
      </c>
      <c r="L82" t="s">
        <v>192</v>
      </c>
      <c r="M82" t="s">
        <v>117</v>
      </c>
    </row>
    <row r="83" spans="1:13">
      <c r="A83">
        <v>3</v>
      </c>
      <c r="B83" s="3">
        <v>46161.555555555547</v>
      </c>
      <c r="C83" s="3">
        <v>46161.625</v>
      </c>
      <c r="D83" t="s">
        <v>16</v>
      </c>
      <c r="E83" t="s">
        <v>17</v>
      </c>
      <c r="F83">
        <v>9</v>
      </c>
      <c r="G83" t="s">
        <v>129</v>
      </c>
      <c r="H83" t="s">
        <v>129</v>
      </c>
      <c r="I83" s="5">
        <v>88.075000000000003</v>
      </c>
      <c r="J83" t="s">
        <v>125</v>
      </c>
      <c r="K83" t="s">
        <v>115</v>
      </c>
      <c r="L83" t="s">
        <v>192</v>
      </c>
      <c r="M83" t="s">
        <v>117</v>
      </c>
    </row>
    <row r="84" spans="1:13">
      <c r="A84">
        <v>3</v>
      </c>
      <c r="B84" s="3">
        <v>46161.555555555547</v>
      </c>
      <c r="C84" s="3">
        <v>46161.625</v>
      </c>
      <c r="D84" t="s">
        <v>16</v>
      </c>
      <c r="E84" t="s">
        <v>17</v>
      </c>
      <c r="F84">
        <v>10</v>
      </c>
      <c r="G84" t="s">
        <v>130</v>
      </c>
      <c r="H84" t="s">
        <v>130</v>
      </c>
      <c r="I84" s="5">
        <v>92.1</v>
      </c>
      <c r="J84" t="s">
        <v>118</v>
      </c>
      <c r="K84" t="s">
        <v>115</v>
      </c>
      <c r="L84" t="s">
        <v>192</v>
      </c>
    </row>
    <row r="85" spans="1:13">
      <c r="A85">
        <v>3</v>
      </c>
      <c r="B85" s="3">
        <v>46161.555555555547</v>
      </c>
      <c r="C85" s="3">
        <v>46161.625</v>
      </c>
      <c r="D85" t="s">
        <v>16</v>
      </c>
      <c r="E85" t="s">
        <v>17</v>
      </c>
      <c r="F85">
        <v>11</v>
      </c>
      <c r="G85" t="s">
        <v>131</v>
      </c>
      <c r="H85" t="s">
        <v>131</v>
      </c>
      <c r="I85" s="5">
        <v>96.05</v>
      </c>
      <c r="J85" t="s">
        <v>125</v>
      </c>
      <c r="K85" t="s">
        <v>115</v>
      </c>
      <c r="L85" t="s">
        <v>192</v>
      </c>
      <c r="M85" t="s">
        <v>117</v>
      </c>
    </row>
    <row r="86" spans="1:13">
      <c r="A86">
        <v>3</v>
      </c>
      <c r="B86" s="3">
        <v>46161.555555555547</v>
      </c>
      <c r="C86" s="3">
        <v>46161.625</v>
      </c>
      <c r="D86" t="s">
        <v>16</v>
      </c>
      <c r="E86" t="s">
        <v>17</v>
      </c>
      <c r="F86">
        <v>12</v>
      </c>
      <c r="G86" t="s">
        <v>133</v>
      </c>
      <c r="H86" t="s">
        <v>133</v>
      </c>
      <c r="I86" s="5">
        <v>100</v>
      </c>
      <c r="J86" t="s">
        <v>118</v>
      </c>
      <c r="K86" t="s">
        <v>115</v>
      </c>
      <c r="L86" t="s">
        <v>192</v>
      </c>
    </row>
    <row r="87" spans="1:13">
      <c r="A87">
        <v>3</v>
      </c>
      <c r="B87" s="3">
        <v>46161.555555555547</v>
      </c>
      <c r="C87" s="3">
        <v>46161.625</v>
      </c>
      <c r="D87" t="s">
        <v>16</v>
      </c>
      <c r="E87" t="s">
        <v>17</v>
      </c>
      <c r="F87">
        <v>13</v>
      </c>
      <c r="G87" t="s">
        <v>134</v>
      </c>
      <c r="H87" t="s">
        <v>134</v>
      </c>
      <c r="I87" s="5">
        <v>103.98</v>
      </c>
      <c r="J87" t="s">
        <v>118</v>
      </c>
      <c r="K87" t="s">
        <v>115</v>
      </c>
      <c r="L87" t="s">
        <v>192</v>
      </c>
    </row>
    <row r="88" spans="1:13">
      <c r="A88">
        <v>3</v>
      </c>
      <c r="B88" s="3">
        <v>46161.555555555547</v>
      </c>
      <c r="C88" s="3">
        <v>46161.625</v>
      </c>
      <c r="D88" t="s">
        <v>16</v>
      </c>
      <c r="E88" t="s">
        <v>17</v>
      </c>
      <c r="F88">
        <v>14</v>
      </c>
      <c r="G88" t="s">
        <v>135</v>
      </c>
      <c r="H88" t="s">
        <v>135</v>
      </c>
      <c r="I88" s="5">
        <v>108</v>
      </c>
      <c r="J88" t="s">
        <v>118</v>
      </c>
      <c r="K88" t="s">
        <v>115</v>
      </c>
      <c r="L88" t="s">
        <v>192</v>
      </c>
    </row>
    <row r="89" spans="1:13">
      <c r="A89">
        <v>3</v>
      </c>
      <c r="B89" s="3">
        <v>46161.555555555547</v>
      </c>
      <c r="C89" s="3">
        <v>46161.625</v>
      </c>
      <c r="D89" t="s">
        <v>16</v>
      </c>
      <c r="E89" t="s">
        <v>17</v>
      </c>
      <c r="F89">
        <v>15</v>
      </c>
      <c r="G89" t="s">
        <v>136</v>
      </c>
      <c r="H89" t="s">
        <v>136</v>
      </c>
      <c r="I89" s="5">
        <v>112.02</v>
      </c>
      <c r="J89" t="s">
        <v>118</v>
      </c>
      <c r="K89" t="s">
        <v>115</v>
      </c>
      <c r="L89" t="s">
        <v>192</v>
      </c>
    </row>
    <row r="90" spans="1:13">
      <c r="A90">
        <v>3</v>
      </c>
      <c r="B90" s="3">
        <v>46161.555555555547</v>
      </c>
      <c r="C90" s="3">
        <v>46161.625</v>
      </c>
      <c r="D90" t="s">
        <v>16</v>
      </c>
      <c r="E90" t="s">
        <v>17</v>
      </c>
      <c r="F90">
        <v>16</v>
      </c>
      <c r="G90" t="s">
        <v>137</v>
      </c>
      <c r="H90" t="s">
        <v>137</v>
      </c>
      <c r="I90" s="5">
        <v>116</v>
      </c>
      <c r="J90" t="s">
        <v>118</v>
      </c>
      <c r="K90" t="s">
        <v>115</v>
      </c>
      <c r="L90" t="s">
        <v>192</v>
      </c>
    </row>
    <row r="91" spans="1:13">
      <c r="A91">
        <v>3</v>
      </c>
      <c r="B91" s="3">
        <v>46161.555555555547</v>
      </c>
      <c r="C91" s="3">
        <v>46161.625</v>
      </c>
      <c r="D91" t="s">
        <v>16</v>
      </c>
      <c r="E91" t="s">
        <v>17</v>
      </c>
      <c r="F91">
        <v>17</v>
      </c>
      <c r="G91" t="s">
        <v>138</v>
      </c>
      <c r="H91" t="s">
        <v>138</v>
      </c>
      <c r="I91" s="5">
        <v>120.05</v>
      </c>
      <c r="J91" t="s">
        <v>118</v>
      </c>
      <c r="K91" t="s">
        <v>115</v>
      </c>
      <c r="L91" t="s">
        <v>192</v>
      </c>
    </row>
    <row r="92" spans="1:13">
      <c r="A92">
        <v>3</v>
      </c>
      <c r="B92" s="3">
        <v>46161.555555555547</v>
      </c>
      <c r="C92" s="3">
        <v>46161.625</v>
      </c>
      <c r="D92" t="s">
        <v>16</v>
      </c>
      <c r="E92" t="s">
        <v>17</v>
      </c>
      <c r="F92">
        <v>18</v>
      </c>
      <c r="G92" t="s">
        <v>139</v>
      </c>
      <c r="H92" t="s">
        <v>139</v>
      </c>
      <c r="I92" s="5">
        <v>124.02</v>
      </c>
      <c r="J92" t="s">
        <v>118</v>
      </c>
      <c r="K92" t="s">
        <v>115</v>
      </c>
      <c r="L92" t="s">
        <v>192</v>
      </c>
    </row>
    <row r="93" spans="1:13">
      <c r="A93">
        <v>3</v>
      </c>
      <c r="B93" s="3">
        <v>46161.555555555547</v>
      </c>
      <c r="C93" s="3">
        <v>46161.625</v>
      </c>
      <c r="D93" t="s">
        <v>16</v>
      </c>
      <c r="E93" t="s">
        <v>17</v>
      </c>
      <c r="F93">
        <v>19</v>
      </c>
      <c r="G93" t="s">
        <v>140</v>
      </c>
      <c r="H93" t="s">
        <v>140</v>
      </c>
      <c r="I93" s="5">
        <v>128.01</v>
      </c>
      <c r="J93" t="s">
        <v>118</v>
      </c>
      <c r="K93" t="s">
        <v>115</v>
      </c>
      <c r="L93" t="s">
        <v>192</v>
      </c>
    </row>
    <row r="94" spans="1:13">
      <c r="A94">
        <v>3</v>
      </c>
      <c r="B94" s="3">
        <v>46161.555555555547</v>
      </c>
      <c r="C94" s="3">
        <v>46161.625</v>
      </c>
      <c r="D94" t="s">
        <v>16</v>
      </c>
      <c r="E94" t="s">
        <v>17</v>
      </c>
      <c r="F94">
        <v>20</v>
      </c>
      <c r="G94" t="s">
        <v>141</v>
      </c>
      <c r="H94" t="s">
        <v>141</v>
      </c>
      <c r="I94" s="5">
        <v>132.02000000000001</v>
      </c>
      <c r="J94" t="s">
        <v>118</v>
      </c>
      <c r="K94" t="s">
        <v>115</v>
      </c>
      <c r="L94" t="s">
        <v>192</v>
      </c>
    </row>
    <row r="95" spans="1:13">
      <c r="A95">
        <v>3</v>
      </c>
      <c r="B95" s="3">
        <v>46161.555555555547</v>
      </c>
      <c r="C95" s="3">
        <v>46161.625</v>
      </c>
      <c r="D95" t="s">
        <v>16</v>
      </c>
      <c r="E95" t="s">
        <v>17</v>
      </c>
      <c r="F95">
        <v>21</v>
      </c>
      <c r="G95" t="s">
        <v>142</v>
      </c>
      <c r="H95" t="s">
        <v>142</v>
      </c>
      <c r="I95" s="5">
        <v>136.05000000000001</v>
      </c>
      <c r="J95" t="s">
        <v>118</v>
      </c>
      <c r="K95" t="s">
        <v>115</v>
      </c>
      <c r="L95" t="s">
        <v>192</v>
      </c>
    </row>
    <row r="96" spans="1:13">
      <c r="A96">
        <v>3</v>
      </c>
      <c r="B96" s="3">
        <v>46161.555555555547</v>
      </c>
      <c r="C96" s="3">
        <v>46161.625</v>
      </c>
      <c r="D96" t="s">
        <v>16</v>
      </c>
      <c r="E96" t="s">
        <v>17</v>
      </c>
      <c r="F96">
        <v>22</v>
      </c>
      <c r="G96" t="s">
        <v>143</v>
      </c>
      <c r="H96" t="s">
        <v>143</v>
      </c>
      <c r="I96" s="5">
        <v>140</v>
      </c>
      <c r="J96" t="s">
        <v>118</v>
      </c>
      <c r="K96" t="s">
        <v>115</v>
      </c>
      <c r="L96" t="s">
        <v>192</v>
      </c>
    </row>
    <row r="97" spans="1:13">
      <c r="A97">
        <v>3</v>
      </c>
      <c r="B97" s="3">
        <v>46161.555555555547</v>
      </c>
      <c r="C97" s="3">
        <v>46161.625</v>
      </c>
      <c r="D97" t="s">
        <v>16</v>
      </c>
      <c r="E97" t="s">
        <v>17</v>
      </c>
      <c r="F97">
        <v>23</v>
      </c>
      <c r="G97" t="s">
        <v>144</v>
      </c>
      <c r="H97" t="s">
        <v>144</v>
      </c>
      <c r="I97" s="5">
        <v>144</v>
      </c>
      <c r="J97" t="s">
        <v>118</v>
      </c>
      <c r="K97" t="s">
        <v>115</v>
      </c>
      <c r="L97" t="s">
        <v>192</v>
      </c>
    </row>
    <row r="98" spans="1:13">
      <c r="A98">
        <v>3</v>
      </c>
      <c r="B98" s="3">
        <v>46161.555555555547</v>
      </c>
      <c r="C98" s="3">
        <v>46161.625</v>
      </c>
      <c r="D98" t="s">
        <v>16</v>
      </c>
      <c r="E98" t="s">
        <v>17</v>
      </c>
      <c r="F98">
        <v>24</v>
      </c>
      <c r="G98" t="s">
        <v>145</v>
      </c>
      <c r="H98" t="s">
        <v>145</v>
      </c>
      <c r="I98" s="5">
        <v>148</v>
      </c>
      <c r="J98" t="s">
        <v>118</v>
      </c>
      <c r="K98" t="s">
        <v>115</v>
      </c>
      <c r="L98" t="s">
        <v>192</v>
      </c>
    </row>
    <row r="99" spans="1:13">
      <c r="A99">
        <v>3</v>
      </c>
      <c r="B99" s="3">
        <v>46161.555555555547</v>
      </c>
      <c r="C99" s="3">
        <v>46161.625</v>
      </c>
      <c r="D99" t="s">
        <v>16</v>
      </c>
      <c r="E99" t="s">
        <v>17</v>
      </c>
      <c r="F99">
        <v>25</v>
      </c>
      <c r="G99" t="s">
        <v>146</v>
      </c>
      <c r="H99" t="s">
        <v>146</v>
      </c>
      <c r="I99" s="5">
        <v>151.94999999999999</v>
      </c>
      <c r="J99" t="s">
        <v>118</v>
      </c>
      <c r="K99" t="s">
        <v>115</v>
      </c>
      <c r="L99" t="s">
        <v>192</v>
      </c>
    </row>
    <row r="100" spans="1:13">
      <c r="A100">
        <v>3</v>
      </c>
      <c r="B100" s="3">
        <v>46161.555555555547</v>
      </c>
      <c r="C100" s="3">
        <v>46161.625</v>
      </c>
      <c r="D100" t="s">
        <v>16</v>
      </c>
      <c r="E100" t="s">
        <v>17</v>
      </c>
      <c r="F100">
        <v>26</v>
      </c>
      <c r="G100" t="s">
        <v>147</v>
      </c>
      <c r="H100" t="s">
        <v>147</v>
      </c>
      <c r="I100" s="5">
        <v>155.96</v>
      </c>
      <c r="J100" t="s">
        <v>118</v>
      </c>
      <c r="K100" t="s">
        <v>115</v>
      </c>
      <c r="L100" t="s">
        <v>192</v>
      </c>
    </row>
    <row r="101" spans="1:13">
      <c r="A101">
        <v>3</v>
      </c>
      <c r="B101" s="3">
        <v>46161.555555555547</v>
      </c>
      <c r="C101" s="3">
        <v>46161.625</v>
      </c>
      <c r="D101" t="s">
        <v>16</v>
      </c>
      <c r="E101" t="s">
        <v>17</v>
      </c>
      <c r="F101">
        <v>27</v>
      </c>
      <c r="G101" t="s">
        <v>148</v>
      </c>
      <c r="H101" t="s">
        <v>148</v>
      </c>
      <c r="I101" s="5">
        <v>160</v>
      </c>
      <c r="J101" t="s">
        <v>118</v>
      </c>
      <c r="K101" t="s">
        <v>115</v>
      </c>
      <c r="L101" t="s">
        <v>192</v>
      </c>
    </row>
    <row r="102" spans="1:13">
      <c r="A102">
        <v>3</v>
      </c>
      <c r="B102" s="3">
        <v>46161.555555555547</v>
      </c>
      <c r="C102" s="3">
        <v>46161.625</v>
      </c>
      <c r="D102" t="s">
        <v>16</v>
      </c>
      <c r="E102" t="s">
        <v>17</v>
      </c>
      <c r="F102">
        <v>28</v>
      </c>
      <c r="G102" t="s">
        <v>149</v>
      </c>
      <c r="H102" t="s">
        <v>149</v>
      </c>
      <c r="I102" s="5">
        <v>164</v>
      </c>
      <c r="J102" t="s">
        <v>118</v>
      </c>
      <c r="K102" t="s">
        <v>115</v>
      </c>
      <c r="L102" t="s">
        <v>192</v>
      </c>
    </row>
    <row r="103" spans="1:13">
      <c r="A103">
        <v>3</v>
      </c>
      <c r="B103" s="3">
        <v>46161.555555555547</v>
      </c>
      <c r="C103" s="3">
        <v>46161.625</v>
      </c>
      <c r="D103" t="s">
        <v>16</v>
      </c>
      <c r="E103" t="s">
        <v>17</v>
      </c>
      <c r="F103">
        <v>29</v>
      </c>
      <c r="G103" t="s">
        <v>150</v>
      </c>
      <c r="H103" t="s">
        <v>150</v>
      </c>
      <c r="I103" s="5">
        <v>168.09</v>
      </c>
      <c r="J103" t="s">
        <v>118</v>
      </c>
      <c r="K103" t="s">
        <v>115</v>
      </c>
      <c r="L103" t="s">
        <v>192</v>
      </c>
    </row>
    <row r="104" spans="1:13">
      <c r="A104">
        <v>3</v>
      </c>
      <c r="B104" s="3">
        <v>46161.555555555547</v>
      </c>
      <c r="C104" s="3">
        <v>46161.625</v>
      </c>
      <c r="D104" t="s">
        <v>16</v>
      </c>
      <c r="E104" t="s">
        <v>17</v>
      </c>
      <c r="F104">
        <v>30</v>
      </c>
      <c r="G104" t="s">
        <v>151</v>
      </c>
      <c r="H104" t="s">
        <v>151</v>
      </c>
      <c r="I104" s="5">
        <v>176.04</v>
      </c>
      <c r="J104" t="s">
        <v>118</v>
      </c>
      <c r="K104" t="s">
        <v>115</v>
      </c>
      <c r="L104" t="s">
        <v>192</v>
      </c>
    </row>
    <row r="105" spans="1:13">
      <c r="A105">
        <v>3</v>
      </c>
      <c r="B105" s="3">
        <v>46161.555555555547</v>
      </c>
      <c r="C105" s="3">
        <v>46161.625</v>
      </c>
      <c r="D105" t="s">
        <v>16</v>
      </c>
      <c r="E105" t="s">
        <v>17</v>
      </c>
      <c r="F105">
        <v>31</v>
      </c>
      <c r="G105" t="s">
        <v>152</v>
      </c>
      <c r="H105" t="s">
        <v>152</v>
      </c>
      <c r="I105" s="5">
        <v>184.05</v>
      </c>
      <c r="J105" t="s">
        <v>118</v>
      </c>
      <c r="K105" t="s">
        <v>115</v>
      </c>
      <c r="L105" t="s">
        <v>192</v>
      </c>
    </row>
    <row r="106" spans="1:13">
      <c r="A106">
        <v>3</v>
      </c>
      <c r="B106" s="3">
        <v>46161.555555555547</v>
      </c>
      <c r="C106" s="3">
        <v>46161.625</v>
      </c>
      <c r="D106" t="s">
        <v>16</v>
      </c>
      <c r="E106" t="s">
        <v>17</v>
      </c>
      <c r="F106">
        <v>32</v>
      </c>
      <c r="G106" t="s">
        <v>153</v>
      </c>
      <c r="H106" t="s">
        <v>153</v>
      </c>
      <c r="I106" s="5">
        <v>192</v>
      </c>
      <c r="J106" t="s">
        <v>118</v>
      </c>
      <c r="K106" t="s">
        <v>115</v>
      </c>
      <c r="L106" t="s">
        <v>192</v>
      </c>
    </row>
    <row r="107" spans="1:13">
      <c r="A107">
        <v>3</v>
      </c>
      <c r="B107" s="3">
        <v>46161.555555555547</v>
      </c>
      <c r="C107" s="3">
        <v>46161.625</v>
      </c>
      <c r="D107" t="s">
        <v>16</v>
      </c>
      <c r="E107" t="s">
        <v>17</v>
      </c>
      <c r="F107">
        <v>33</v>
      </c>
      <c r="G107" t="s">
        <v>154</v>
      </c>
      <c r="H107" t="s">
        <v>154</v>
      </c>
      <c r="I107" s="5">
        <v>200</v>
      </c>
      <c r="J107" t="s">
        <v>118</v>
      </c>
      <c r="K107" t="s">
        <v>115</v>
      </c>
      <c r="L107" t="s">
        <v>192</v>
      </c>
    </row>
    <row r="108" spans="1:13">
      <c r="A108">
        <v>3</v>
      </c>
      <c r="B108" s="3">
        <v>46161.555555555547</v>
      </c>
      <c r="C108" s="3">
        <v>46161.625</v>
      </c>
      <c r="D108" t="s">
        <v>16</v>
      </c>
      <c r="E108" t="s">
        <v>17</v>
      </c>
      <c r="F108">
        <v>34</v>
      </c>
      <c r="G108" t="s">
        <v>155</v>
      </c>
      <c r="H108" t="s">
        <v>155</v>
      </c>
      <c r="I108" s="5">
        <v>208</v>
      </c>
      <c r="J108" t="s">
        <v>118</v>
      </c>
      <c r="K108" t="s">
        <v>115</v>
      </c>
      <c r="L108" t="s">
        <v>192</v>
      </c>
    </row>
    <row r="109" spans="1:13">
      <c r="A109">
        <v>3</v>
      </c>
      <c r="B109" s="3">
        <v>46161.555555555547</v>
      </c>
      <c r="C109" s="3">
        <v>46161.625</v>
      </c>
      <c r="D109" t="s">
        <v>16</v>
      </c>
      <c r="E109" t="s">
        <v>17</v>
      </c>
      <c r="F109">
        <v>35</v>
      </c>
      <c r="G109" t="s">
        <v>156</v>
      </c>
      <c r="H109" t="s">
        <v>156</v>
      </c>
      <c r="I109" s="5">
        <v>216</v>
      </c>
      <c r="J109" t="s">
        <v>118</v>
      </c>
      <c r="K109" t="s">
        <v>115</v>
      </c>
      <c r="L109" t="s">
        <v>192</v>
      </c>
    </row>
    <row r="110" spans="1:13">
      <c r="A110">
        <v>4</v>
      </c>
      <c r="B110" s="3">
        <v>46161.625</v>
      </c>
      <c r="C110" s="3">
        <v>46161.767361111109</v>
      </c>
      <c r="D110" t="s">
        <v>96</v>
      </c>
      <c r="E110" t="s">
        <v>95</v>
      </c>
      <c r="I110" s="5"/>
      <c r="L110" t="s">
        <v>193</v>
      </c>
      <c r="M110" t="s">
        <v>194</v>
      </c>
    </row>
  </sheetData>
  <conditionalFormatting sqref="J2:J110">
    <cfRule type="expression" dxfId="2" priority="1">
      <formula>$J2&lt;&gt;"measured"</formula>
    </cfRule>
  </conditionalFormatting>
  <conditionalFormatting sqref="M2:M110">
    <cfRule type="expression" dxfId="1" priority="2">
      <formula>LEN($M2)&gt;0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baseColWidth="10" defaultColWidth="8.83203125" defaultRowHeight="14"/>
  <cols>
    <col min="1" max="1" width="38" customWidth="1"/>
    <col min="2" max="2" width="10" customWidth="1"/>
    <col min="3" max="3" width="120" customWidth="1"/>
  </cols>
  <sheetData>
    <row r="1" spans="1:3" ht="16" customHeight="1">
      <c r="A1" s="2" t="s">
        <v>195</v>
      </c>
      <c r="B1" s="2" t="s">
        <v>196</v>
      </c>
      <c r="C1" s="2" t="s">
        <v>197</v>
      </c>
    </row>
    <row r="2" spans="1:3">
      <c r="A2" t="s">
        <v>198</v>
      </c>
      <c r="B2" s="6">
        <v>5</v>
      </c>
      <c r="C2" t="s">
        <v>199</v>
      </c>
    </row>
    <row r="3" spans="1:3">
      <c r="A3" t="s">
        <v>200</v>
      </c>
      <c r="B3" s="6">
        <v>4</v>
      </c>
      <c r="C3" t="s">
        <v>201</v>
      </c>
    </row>
    <row r="4" spans="1:3">
      <c r="A4" t="s">
        <v>202</v>
      </c>
      <c r="B4" s="6">
        <v>2</v>
      </c>
      <c r="C4" t="s">
        <v>203</v>
      </c>
    </row>
    <row r="5" spans="1:3">
      <c r="A5" t="s">
        <v>204</v>
      </c>
      <c r="B5" s="6">
        <v>9</v>
      </c>
      <c r="C5" t="s">
        <v>205</v>
      </c>
    </row>
    <row r="6" spans="1:3">
      <c r="A6" t="s">
        <v>206</v>
      </c>
      <c r="B6" s="6">
        <v>1</v>
      </c>
      <c r="C6" t="s">
        <v>207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"/>
  <sheetViews>
    <sheetView workbookViewId="0"/>
  </sheetViews>
  <sheetFormatPr baseColWidth="10" defaultColWidth="8.83203125" defaultRowHeight="14"/>
  <cols>
    <col min="1" max="1" width="22" customWidth="1"/>
    <col min="2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4" customWidth="1"/>
  </cols>
  <sheetData>
    <row r="1" spans="1:7" ht="32" customHeight="1">
      <c r="A1" s="2" t="s">
        <v>106</v>
      </c>
      <c r="B1" s="2" t="s">
        <v>208</v>
      </c>
      <c r="C1" s="2" t="s">
        <v>158</v>
      </c>
      <c r="D1" s="2" t="s">
        <v>209</v>
      </c>
      <c r="E1" s="2" t="s">
        <v>210</v>
      </c>
      <c r="F1" s="2" t="s">
        <v>211</v>
      </c>
      <c r="G1" s="2" t="s">
        <v>212</v>
      </c>
    </row>
    <row r="2" spans="1:7">
      <c r="A2" t="s">
        <v>144</v>
      </c>
      <c r="B2">
        <v>23</v>
      </c>
      <c r="C2" s="5">
        <v>144</v>
      </c>
      <c r="D2" s="5">
        <v>27</v>
      </c>
      <c r="E2" s="5">
        <v>144</v>
      </c>
      <c r="F2" s="5">
        <v>0</v>
      </c>
      <c r="G2" t="s">
        <v>162</v>
      </c>
    </row>
    <row r="3" spans="1:7">
      <c r="A3" t="s">
        <v>135</v>
      </c>
      <c r="B3">
        <v>14</v>
      </c>
      <c r="C3" s="5">
        <v>108</v>
      </c>
      <c r="D3" s="5">
        <v>10</v>
      </c>
      <c r="E3" s="5">
        <v>108.14</v>
      </c>
      <c r="F3" s="5">
        <v>0.14000000000000001</v>
      </c>
      <c r="G3" t="s">
        <v>162</v>
      </c>
    </row>
    <row r="4" spans="1:7">
      <c r="A4" t="s">
        <v>131</v>
      </c>
      <c r="B4">
        <v>11</v>
      </c>
      <c r="C4" s="5">
        <v>96.05</v>
      </c>
      <c r="D4" s="5">
        <v>6</v>
      </c>
      <c r="E4" s="5">
        <v>96.05</v>
      </c>
      <c r="F4" s="5">
        <v>0</v>
      </c>
      <c r="G4" t="s">
        <v>162</v>
      </c>
    </row>
    <row r="5" spans="1:7">
      <c r="A5" t="s">
        <v>142</v>
      </c>
      <c r="B5">
        <v>21</v>
      </c>
      <c r="C5" s="5">
        <v>136.05000000000001</v>
      </c>
      <c r="D5" s="5">
        <v>24</v>
      </c>
      <c r="E5" s="5">
        <v>136.19999999999999</v>
      </c>
      <c r="F5" s="5">
        <v>0.15</v>
      </c>
      <c r="G5" t="s">
        <v>162</v>
      </c>
    </row>
    <row r="6" spans="1:7">
      <c r="A6" t="s">
        <v>143</v>
      </c>
      <c r="B6">
        <v>22</v>
      </c>
      <c r="C6" s="5">
        <v>140</v>
      </c>
      <c r="D6" s="5">
        <v>26</v>
      </c>
      <c r="E6" s="5">
        <v>140</v>
      </c>
      <c r="F6" s="5">
        <v>0</v>
      </c>
      <c r="G6" t="s">
        <v>162</v>
      </c>
    </row>
    <row r="7" spans="1:7">
      <c r="A7" t="s">
        <v>155</v>
      </c>
      <c r="B7">
        <v>34</v>
      </c>
      <c r="C7" s="5">
        <v>208</v>
      </c>
      <c r="D7" s="5">
        <v>9</v>
      </c>
      <c r="E7" s="5">
        <v>106.03</v>
      </c>
      <c r="F7" s="5">
        <v>-101.97</v>
      </c>
      <c r="G7" t="s">
        <v>168</v>
      </c>
    </row>
    <row r="8" spans="1:7">
      <c r="A8" t="s">
        <v>136</v>
      </c>
      <c r="B8">
        <v>15</v>
      </c>
      <c r="C8" s="5">
        <v>112.02</v>
      </c>
      <c r="D8" s="5">
        <v>12</v>
      </c>
      <c r="E8" s="5">
        <v>112.15</v>
      </c>
      <c r="F8" s="5">
        <v>0.13</v>
      </c>
      <c r="G8" t="s">
        <v>162</v>
      </c>
    </row>
    <row r="9" spans="1:7">
      <c r="A9" t="s">
        <v>129</v>
      </c>
      <c r="B9">
        <v>9</v>
      </c>
      <c r="C9" s="5">
        <v>88.075000000000003</v>
      </c>
      <c r="D9" s="5">
        <v>4</v>
      </c>
      <c r="E9" s="5">
        <v>88.075000000000003</v>
      </c>
      <c r="F9" s="5">
        <v>0</v>
      </c>
      <c r="G9" t="s">
        <v>162</v>
      </c>
    </row>
    <row r="10" spans="1:7">
      <c r="A10" t="s">
        <v>130</v>
      </c>
      <c r="B10">
        <v>10</v>
      </c>
      <c r="C10" s="5">
        <v>92.1</v>
      </c>
      <c r="D10" s="5">
        <v>5</v>
      </c>
      <c r="E10" s="5">
        <v>92.1</v>
      </c>
      <c r="F10" s="5">
        <v>0</v>
      </c>
      <c r="G10" t="s">
        <v>162</v>
      </c>
    </row>
    <row r="11" spans="1:7">
      <c r="A11" t="s">
        <v>119</v>
      </c>
      <c r="B11">
        <v>1</v>
      </c>
      <c r="C11" s="5">
        <v>36</v>
      </c>
      <c r="D11" s="5">
        <v>19</v>
      </c>
      <c r="E11" s="5">
        <v>126.38</v>
      </c>
      <c r="F11" s="5">
        <v>90.38</v>
      </c>
      <c r="G11" t="s">
        <v>168</v>
      </c>
    </row>
    <row r="12" spans="1:7">
      <c r="A12" t="s">
        <v>134</v>
      </c>
      <c r="B12">
        <v>13</v>
      </c>
      <c r="C12" s="5">
        <v>103.98</v>
      </c>
      <c r="D12" s="5">
        <v>8</v>
      </c>
      <c r="E12" s="5">
        <v>104.08</v>
      </c>
      <c r="F12" s="5">
        <v>0.1</v>
      </c>
      <c r="G12" t="s">
        <v>162</v>
      </c>
    </row>
    <row r="13" spans="1:7">
      <c r="A13" t="s">
        <v>138</v>
      </c>
      <c r="B13">
        <v>17</v>
      </c>
      <c r="C13" s="5">
        <v>120.05</v>
      </c>
      <c r="D13" s="5">
        <v>16</v>
      </c>
      <c r="E13" s="5">
        <v>120.18</v>
      </c>
      <c r="F13" s="5">
        <v>0.13</v>
      </c>
      <c r="G13" t="s">
        <v>162</v>
      </c>
    </row>
    <row r="14" spans="1:7">
      <c r="A14" t="s">
        <v>124</v>
      </c>
      <c r="B14">
        <v>6</v>
      </c>
      <c r="C14" s="5">
        <v>76</v>
      </c>
      <c r="D14" s="5">
        <v>1</v>
      </c>
      <c r="E14" s="5">
        <v>76</v>
      </c>
      <c r="F14" s="5">
        <v>0</v>
      </c>
      <c r="G14" t="s">
        <v>162</v>
      </c>
    </row>
    <row r="15" spans="1:7">
      <c r="A15" t="s">
        <v>149</v>
      </c>
      <c r="B15">
        <v>28</v>
      </c>
      <c r="C15" s="5">
        <v>164</v>
      </c>
      <c r="D15" s="5">
        <v>32</v>
      </c>
      <c r="E15" s="5">
        <v>164</v>
      </c>
      <c r="F15" s="5">
        <v>0</v>
      </c>
      <c r="G15" t="s">
        <v>162</v>
      </c>
    </row>
    <row r="16" spans="1:7">
      <c r="A16" t="s">
        <v>152</v>
      </c>
      <c r="B16">
        <v>31</v>
      </c>
      <c r="C16" s="5">
        <v>184.05</v>
      </c>
      <c r="D16" s="5">
        <v>35</v>
      </c>
      <c r="E16" s="5">
        <v>184.05</v>
      </c>
      <c r="F16" s="5">
        <v>0</v>
      </c>
      <c r="G16" t="s">
        <v>162</v>
      </c>
    </row>
    <row r="17" spans="1:7">
      <c r="A17" t="s">
        <v>151</v>
      </c>
      <c r="B17">
        <v>30</v>
      </c>
      <c r="C17" s="5">
        <v>176.04</v>
      </c>
      <c r="D17" s="5">
        <v>34</v>
      </c>
      <c r="E17" s="5">
        <v>176.04</v>
      </c>
      <c r="F17" s="5">
        <v>0</v>
      </c>
      <c r="G17" t="s">
        <v>162</v>
      </c>
    </row>
    <row r="18" spans="1:7">
      <c r="A18" t="s">
        <v>133</v>
      </c>
      <c r="B18">
        <v>12</v>
      </c>
      <c r="C18" s="5">
        <v>100</v>
      </c>
      <c r="D18" s="5">
        <v>7</v>
      </c>
      <c r="E18" s="5">
        <v>100</v>
      </c>
      <c r="F18" s="5">
        <v>0</v>
      </c>
      <c r="G18" t="s">
        <v>162</v>
      </c>
    </row>
    <row r="19" spans="1:7">
      <c r="A19" t="s">
        <v>147</v>
      </c>
      <c r="B19">
        <v>26</v>
      </c>
      <c r="C19" s="5">
        <v>155.96</v>
      </c>
      <c r="D19" s="5">
        <v>30</v>
      </c>
      <c r="E19" s="5">
        <v>155.96</v>
      </c>
      <c r="F19" s="5">
        <v>0</v>
      </c>
      <c r="G19" t="s">
        <v>162</v>
      </c>
    </row>
    <row r="20" spans="1:7">
      <c r="A20" t="s">
        <v>145</v>
      </c>
      <c r="B20">
        <v>24</v>
      </c>
      <c r="C20" s="5">
        <v>148</v>
      </c>
      <c r="D20" s="5">
        <v>28</v>
      </c>
      <c r="E20" s="5">
        <v>148</v>
      </c>
      <c r="F20" s="5">
        <v>0</v>
      </c>
      <c r="G20" t="s">
        <v>162</v>
      </c>
    </row>
    <row r="21" spans="1:7">
      <c r="A21" t="s">
        <v>137</v>
      </c>
      <c r="B21">
        <v>16</v>
      </c>
      <c r="C21" s="5">
        <v>116</v>
      </c>
      <c r="D21" s="5">
        <v>14</v>
      </c>
      <c r="E21" s="5">
        <v>116.11</v>
      </c>
      <c r="F21" s="5">
        <v>0.11</v>
      </c>
      <c r="G21" t="s">
        <v>162</v>
      </c>
    </row>
    <row r="22" spans="1:7">
      <c r="A22" t="s">
        <v>126</v>
      </c>
      <c r="B22">
        <v>7</v>
      </c>
      <c r="C22" s="5">
        <v>80.025000000000006</v>
      </c>
      <c r="D22" s="5">
        <v>2</v>
      </c>
      <c r="E22" s="5">
        <v>80.025000000000006</v>
      </c>
      <c r="F22" s="5">
        <v>0</v>
      </c>
      <c r="G22" t="s">
        <v>162</v>
      </c>
    </row>
    <row r="23" spans="1:7">
      <c r="A23" t="s">
        <v>122</v>
      </c>
      <c r="B23">
        <v>4</v>
      </c>
      <c r="C23" s="5">
        <v>60.04</v>
      </c>
      <c r="D23" s="5">
        <v>11</v>
      </c>
      <c r="E23" s="5">
        <v>110.05</v>
      </c>
      <c r="F23" s="5">
        <v>50.01</v>
      </c>
      <c r="G23" t="s">
        <v>168</v>
      </c>
    </row>
    <row r="24" spans="1:7">
      <c r="A24" t="s">
        <v>153</v>
      </c>
      <c r="B24">
        <v>32</v>
      </c>
      <c r="C24" s="5">
        <v>192</v>
      </c>
      <c r="D24" s="5">
        <v>23</v>
      </c>
      <c r="E24" s="5">
        <v>134.02000000000001</v>
      </c>
      <c r="F24" s="5">
        <v>-57.98</v>
      </c>
      <c r="G24" t="s">
        <v>168</v>
      </c>
    </row>
    <row r="25" spans="1:7">
      <c r="A25" t="s">
        <v>148</v>
      </c>
      <c r="B25">
        <v>27</v>
      </c>
      <c r="C25" s="5">
        <v>160</v>
      </c>
      <c r="D25" s="5">
        <v>31</v>
      </c>
      <c r="E25" s="5">
        <v>160</v>
      </c>
      <c r="F25" s="5">
        <v>0</v>
      </c>
      <c r="G25" t="s">
        <v>162</v>
      </c>
    </row>
    <row r="26" spans="1:7">
      <c r="A26" t="s">
        <v>150</v>
      </c>
      <c r="B26">
        <v>29</v>
      </c>
      <c r="C26" s="5">
        <v>168.09</v>
      </c>
      <c r="D26" s="5">
        <v>33</v>
      </c>
      <c r="E26" s="5">
        <v>168.09</v>
      </c>
      <c r="F26" s="5">
        <v>0</v>
      </c>
      <c r="G26" t="s">
        <v>162</v>
      </c>
    </row>
    <row r="27" spans="1:7">
      <c r="A27" t="s">
        <v>123</v>
      </c>
      <c r="B27">
        <v>5</v>
      </c>
      <c r="C27" s="5">
        <v>68.09</v>
      </c>
      <c r="D27" s="5">
        <v>0</v>
      </c>
      <c r="E27" s="5">
        <v>68.09</v>
      </c>
      <c r="F27" s="5">
        <v>0</v>
      </c>
      <c r="G27" t="s">
        <v>162</v>
      </c>
    </row>
    <row r="28" spans="1:7">
      <c r="A28" t="s">
        <v>141</v>
      </c>
      <c r="B28">
        <v>20</v>
      </c>
      <c r="C28" s="5">
        <v>132.02000000000001</v>
      </c>
      <c r="D28" s="5">
        <v>22</v>
      </c>
      <c r="E28" s="5">
        <v>132.16</v>
      </c>
      <c r="F28" s="5">
        <v>0.14000000000000001</v>
      </c>
      <c r="G28" t="s">
        <v>162</v>
      </c>
    </row>
    <row r="29" spans="1:7">
      <c r="A29" t="s">
        <v>154</v>
      </c>
      <c r="B29">
        <v>33</v>
      </c>
      <c r="C29" s="5">
        <v>200</v>
      </c>
      <c r="D29" s="5">
        <v>15</v>
      </c>
      <c r="E29" s="5">
        <v>117.97</v>
      </c>
      <c r="F29" s="5">
        <v>-82.03</v>
      </c>
      <c r="G29" t="s">
        <v>168</v>
      </c>
    </row>
    <row r="30" spans="1:7">
      <c r="A30" t="s">
        <v>139</v>
      </c>
      <c r="B30">
        <v>18</v>
      </c>
      <c r="C30" s="5">
        <v>124.02</v>
      </c>
      <c r="D30" s="5">
        <v>18</v>
      </c>
      <c r="E30" s="5">
        <v>124.13</v>
      </c>
      <c r="F30" s="5">
        <v>0.11</v>
      </c>
      <c r="G30" t="s">
        <v>162</v>
      </c>
    </row>
    <row r="31" spans="1:7">
      <c r="A31" t="s">
        <v>121</v>
      </c>
      <c r="B31">
        <v>3</v>
      </c>
      <c r="C31" s="5">
        <v>52.07</v>
      </c>
      <c r="D31" s="5">
        <v>13</v>
      </c>
      <c r="E31" s="5">
        <v>114</v>
      </c>
      <c r="F31" s="5">
        <v>61.93</v>
      </c>
      <c r="G31" t="s">
        <v>168</v>
      </c>
    </row>
    <row r="32" spans="1:7">
      <c r="A32" t="s">
        <v>120</v>
      </c>
      <c r="B32">
        <v>2</v>
      </c>
      <c r="C32" s="5">
        <v>44</v>
      </c>
      <c r="D32" s="5">
        <v>17</v>
      </c>
      <c r="E32" s="5">
        <v>122.04</v>
      </c>
      <c r="F32" s="5">
        <v>78.040000000000006</v>
      </c>
      <c r="G32" t="s">
        <v>168</v>
      </c>
    </row>
    <row r="33" spans="1:7">
      <c r="A33" t="s">
        <v>140</v>
      </c>
      <c r="B33">
        <v>19</v>
      </c>
      <c r="C33" s="5">
        <v>128.01</v>
      </c>
      <c r="D33" s="5">
        <v>20</v>
      </c>
      <c r="E33" s="5">
        <v>128.15</v>
      </c>
      <c r="F33" s="5">
        <v>0.14000000000000001</v>
      </c>
      <c r="G33" t="s">
        <v>162</v>
      </c>
    </row>
    <row r="34" spans="1:7">
      <c r="A34" t="s">
        <v>146</v>
      </c>
      <c r="B34">
        <v>25</v>
      </c>
      <c r="C34" s="5">
        <v>151.94999999999999</v>
      </c>
      <c r="D34" s="5">
        <v>29</v>
      </c>
      <c r="E34" s="5">
        <v>151.94999999999999</v>
      </c>
      <c r="F34" s="5">
        <v>0</v>
      </c>
      <c r="G34" t="s">
        <v>162</v>
      </c>
    </row>
    <row r="35" spans="1:7">
      <c r="A35" t="s">
        <v>114</v>
      </c>
      <c r="B35">
        <v>0</v>
      </c>
      <c r="C35" s="5">
        <v>28</v>
      </c>
      <c r="D35" s="5">
        <v>21</v>
      </c>
      <c r="E35" s="5">
        <v>129.96</v>
      </c>
      <c r="F35" s="5">
        <v>101.96</v>
      </c>
      <c r="G35" t="s">
        <v>168</v>
      </c>
    </row>
    <row r="36" spans="1:7">
      <c r="A36" t="s">
        <v>128</v>
      </c>
      <c r="B36">
        <v>8</v>
      </c>
      <c r="C36" s="5">
        <v>84.05</v>
      </c>
      <c r="D36" s="5">
        <v>3</v>
      </c>
      <c r="E36" s="5">
        <v>84.05</v>
      </c>
      <c r="F36" s="5">
        <v>0</v>
      </c>
      <c r="G36" t="s">
        <v>162</v>
      </c>
    </row>
    <row r="37" spans="1:7">
      <c r="A37" t="s">
        <v>156</v>
      </c>
      <c r="B37">
        <v>35</v>
      </c>
      <c r="C37" s="5">
        <v>216</v>
      </c>
      <c r="D37" s="5">
        <v>25</v>
      </c>
      <c r="E37" s="5">
        <v>137.82</v>
      </c>
      <c r="F37" s="5">
        <v>-78.180000000000007</v>
      </c>
      <c r="G37" t="s">
        <v>168</v>
      </c>
    </row>
  </sheetData>
  <conditionalFormatting sqref="G2:G37">
    <cfRule type="expression" dxfId="0" priority="1">
      <formula>LEFT($G2,3)="yes"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7"/>
  <sheetViews>
    <sheetView workbookViewId="0"/>
  </sheetViews>
  <sheetFormatPr baseColWidth="10" defaultColWidth="8.83203125" defaultRowHeight="14"/>
  <cols>
    <col min="1" max="1" width="14" customWidth="1"/>
    <col min="2" max="3" width="18" customWidth="1"/>
  </cols>
  <sheetData>
    <row r="1" spans="1:3" ht="32" customHeight="1">
      <c r="A1" s="2" t="s">
        <v>101</v>
      </c>
      <c r="B1" s="2" t="s">
        <v>158</v>
      </c>
      <c r="C1" s="2" t="s">
        <v>210</v>
      </c>
    </row>
    <row r="2" spans="1:3">
      <c r="A2">
        <v>0</v>
      </c>
      <c r="B2">
        <v>28</v>
      </c>
      <c r="C2">
        <v>68.09</v>
      </c>
    </row>
    <row r="3" spans="1:3">
      <c r="A3">
        <v>1</v>
      </c>
      <c r="B3">
        <v>36</v>
      </c>
      <c r="C3">
        <v>76</v>
      </c>
    </row>
    <row r="4" spans="1:3">
      <c r="A4">
        <v>2</v>
      </c>
      <c r="B4">
        <v>44</v>
      </c>
      <c r="C4">
        <v>80.025000000000006</v>
      </c>
    </row>
    <row r="5" spans="1:3">
      <c r="A5">
        <v>3</v>
      </c>
      <c r="B5">
        <v>52.07</v>
      </c>
      <c r="C5">
        <v>84.05</v>
      </c>
    </row>
    <row r="6" spans="1:3">
      <c r="A6">
        <v>4</v>
      </c>
      <c r="B6">
        <v>60.04</v>
      </c>
      <c r="C6">
        <v>88.075000000000003</v>
      </c>
    </row>
    <row r="7" spans="1:3">
      <c r="A7">
        <v>5</v>
      </c>
      <c r="B7">
        <v>68.09</v>
      </c>
      <c r="C7">
        <v>92.1</v>
      </c>
    </row>
    <row r="8" spans="1:3">
      <c r="A8">
        <v>6</v>
      </c>
      <c r="B8">
        <v>76</v>
      </c>
      <c r="C8">
        <v>96.05</v>
      </c>
    </row>
    <row r="9" spans="1:3">
      <c r="A9">
        <v>7</v>
      </c>
      <c r="B9">
        <v>80.025000000000006</v>
      </c>
      <c r="C9">
        <v>100</v>
      </c>
    </row>
    <row r="10" spans="1:3">
      <c r="A10">
        <v>8</v>
      </c>
      <c r="B10">
        <v>84.05</v>
      </c>
      <c r="C10">
        <v>104.08</v>
      </c>
    </row>
    <row r="11" spans="1:3">
      <c r="A11">
        <v>9</v>
      </c>
      <c r="B11">
        <v>88.075000000000003</v>
      </c>
      <c r="C11">
        <v>106.03</v>
      </c>
    </row>
    <row r="12" spans="1:3">
      <c r="A12">
        <v>10</v>
      </c>
      <c r="B12">
        <v>92.1</v>
      </c>
      <c r="C12">
        <v>108.14</v>
      </c>
    </row>
    <row r="13" spans="1:3">
      <c r="A13">
        <v>11</v>
      </c>
      <c r="B13">
        <v>96.05</v>
      </c>
      <c r="C13">
        <v>110.05</v>
      </c>
    </row>
    <row r="14" spans="1:3">
      <c r="A14">
        <v>12</v>
      </c>
      <c r="B14">
        <v>100</v>
      </c>
      <c r="C14">
        <v>112.15</v>
      </c>
    </row>
    <row r="15" spans="1:3">
      <c r="A15">
        <v>13</v>
      </c>
      <c r="B15">
        <v>103.98</v>
      </c>
      <c r="C15">
        <v>114</v>
      </c>
    </row>
    <row r="16" spans="1:3">
      <c r="A16">
        <v>14</v>
      </c>
      <c r="B16">
        <v>108</v>
      </c>
      <c r="C16">
        <v>116.11</v>
      </c>
    </row>
    <row r="17" spans="1:3">
      <c r="A17">
        <v>15</v>
      </c>
      <c r="B17">
        <v>112.02</v>
      </c>
      <c r="C17">
        <v>117.97</v>
      </c>
    </row>
    <row r="18" spans="1:3">
      <c r="A18">
        <v>16</v>
      </c>
      <c r="B18">
        <v>116</v>
      </c>
      <c r="C18">
        <v>120.18</v>
      </c>
    </row>
    <row r="19" spans="1:3">
      <c r="A19">
        <v>17</v>
      </c>
      <c r="B19">
        <v>120.05</v>
      </c>
      <c r="C19">
        <v>122.04</v>
      </c>
    </row>
    <row r="20" spans="1:3">
      <c r="A20">
        <v>18</v>
      </c>
      <c r="B20">
        <v>124.02</v>
      </c>
      <c r="C20">
        <v>124.13</v>
      </c>
    </row>
    <row r="21" spans="1:3">
      <c r="A21">
        <v>19</v>
      </c>
      <c r="B21">
        <v>128.01</v>
      </c>
      <c r="C21">
        <v>126.38</v>
      </c>
    </row>
    <row r="22" spans="1:3">
      <c r="A22">
        <v>20</v>
      </c>
      <c r="B22">
        <v>132.02000000000001</v>
      </c>
      <c r="C22">
        <v>128.15</v>
      </c>
    </row>
    <row r="23" spans="1:3">
      <c r="A23">
        <v>21</v>
      </c>
      <c r="B23">
        <v>136.05000000000001</v>
      </c>
      <c r="C23">
        <v>129.96</v>
      </c>
    </row>
    <row r="24" spans="1:3">
      <c r="A24">
        <v>22</v>
      </c>
      <c r="B24">
        <v>140</v>
      </c>
      <c r="C24">
        <v>132.16</v>
      </c>
    </row>
    <row r="25" spans="1:3">
      <c r="A25">
        <v>23</v>
      </c>
      <c r="B25">
        <v>144</v>
      </c>
      <c r="C25">
        <v>134.02000000000001</v>
      </c>
    </row>
    <row r="26" spans="1:3">
      <c r="A26">
        <v>24</v>
      </c>
      <c r="B26">
        <v>148</v>
      </c>
      <c r="C26">
        <v>136.19999999999999</v>
      </c>
    </row>
    <row r="27" spans="1:3">
      <c r="A27">
        <v>25</v>
      </c>
      <c r="B27">
        <v>151.94999999999999</v>
      </c>
      <c r="C27">
        <v>137.82</v>
      </c>
    </row>
    <row r="28" spans="1:3">
      <c r="A28">
        <v>26</v>
      </c>
      <c r="B28">
        <v>155.96</v>
      </c>
      <c r="C28">
        <v>140</v>
      </c>
    </row>
    <row r="29" spans="1:3">
      <c r="A29">
        <v>27</v>
      </c>
      <c r="B29">
        <v>160</v>
      </c>
      <c r="C29">
        <v>144</v>
      </c>
    </row>
    <row r="30" spans="1:3">
      <c r="A30">
        <v>28</v>
      </c>
      <c r="B30">
        <v>164</v>
      </c>
      <c r="C30">
        <v>148</v>
      </c>
    </row>
    <row r="31" spans="1:3">
      <c r="A31">
        <v>29</v>
      </c>
      <c r="B31">
        <v>168.09</v>
      </c>
      <c r="C31">
        <v>151.94999999999999</v>
      </c>
    </row>
    <row r="32" spans="1:3">
      <c r="A32">
        <v>30</v>
      </c>
      <c r="B32">
        <v>176.04</v>
      </c>
      <c r="C32">
        <v>155.96</v>
      </c>
    </row>
    <row r="33" spans="1:3">
      <c r="A33">
        <v>31</v>
      </c>
      <c r="B33">
        <v>184.05</v>
      </c>
      <c r="C33">
        <v>160</v>
      </c>
    </row>
    <row r="34" spans="1:3">
      <c r="A34">
        <v>32</v>
      </c>
      <c r="B34">
        <v>192</v>
      </c>
      <c r="C34">
        <v>164</v>
      </c>
    </row>
    <row r="35" spans="1:3">
      <c r="A35">
        <v>33</v>
      </c>
      <c r="B35">
        <v>200</v>
      </c>
      <c r="C35">
        <v>168.09</v>
      </c>
    </row>
    <row r="36" spans="1:3">
      <c r="A36">
        <v>34</v>
      </c>
      <c r="B36">
        <v>208</v>
      </c>
      <c r="C36">
        <v>176.04</v>
      </c>
    </row>
    <row r="37" spans="1:3">
      <c r="A37">
        <v>35</v>
      </c>
      <c r="B37">
        <v>216</v>
      </c>
      <c r="C37">
        <v>184.05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>
      <selection activeCell="B22" sqref="B22"/>
    </sheetView>
  </sheetViews>
  <sheetFormatPr baseColWidth="10" defaultColWidth="8.83203125" defaultRowHeight="14"/>
  <cols>
    <col min="1" max="1" width="35.83203125" customWidth="1"/>
    <col min="2" max="2" width="14" style="9" customWidth="1"/>
    <col min="3" max="4" width="12" style="8" customWidth="1"/>
    <col min="5" max="5" width="10" customWidth="1"/>
    <col min="6" max="6" width="16" customWidth="1"/>
    <col min="7" max="7" width="20" customWidth="1"/>
    <col min="8" max="8" width="18" customWidth="1"/>
    <col min="9" max="9" width="20" customWidth="1"/>
    <col min="10" max="10" width="40" customWidth="1"/>
    <col min="11" max="11" width="12" customWidth="1"/>
    <col min="12" max="12" width="65" customWidth="1"/>
    <col min="13" max="13" width="22" customWidth="1"/>
    <col min="14" max="14" width="12" customWidth="1"/>
    <col min="15" max="15" width="15" customWidth="1"/>
  </cols>
  <sheetData>
    <row r="1" spans="1:15" ht="32" customHeight="1">
      <c r="A1" s="12" t="s">
        <v>0</v>
      </c>
      <c r="B1" s="14" t="s">
        <v>1</v>
      </c>
      <c r="C1" s="13" t="s">
        <v>2</v>
      </c>
      <c r="D1" s="13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ht="15" customHeight="1">
      <c r="A2" s="7" t="s">
        <v>15</v>
      </c>
      <c r="B2" s="11">
        <v>46158</v>
      </c>
      <c r="C2" s="10">
        <v>0.33333333333333331</v>
      </c>
      <c r="D2" s="10">
        <f t="shared" ref="D2:D13" si="0">C2+4/24</f>
        <v>0.5</v>
      </c>
      <c r="E2" s="7" t="s">
        <v>16</v>
      </c>
      <c r="F2" s="7">
        <v>1</v>
      </c>
      <c r="G2" s="7" t="s">
        <v>17</v>
      </c>
      <c r="H2" s="7"/>
      <c r="I2" s="7" t="s">
        <v>18</v>
      </c>
      <c r="J2" s="7" t="s">
        <v>19</v>
      </c>
      <c r="K2" s="7"/>
      <c r="L2" s="7" t="s">
        <v>20</v>
      </c>
      <c r="M2" s="7" t="s">
        <v>21</v>
      </c>
      <c r="N2" s="7" t="s">
        <v>22</v>
      </c>
      <c r="O2" s="7" t="s">
        <v>23</v>
      </c>
    </row>
    <row r="3" spans="1:15" ht="15" customHeight="1">
      <c r="A3" s="7" t="s">
        <v>24</v>
      </c>
      <c r="B3" s="11">
        <v>46159</v>
      </c>
      <c r="C3" s="10">
        <v>0.5</v>
      </c>
      <c r="D3" s="10">
        <f t="shared" si="0"/>
        <v>0.66666666666666663</v>
      </c>
      <c r="E3" s="7" t="s">
        <v>16</v>
      </c>
      <c r="F3" s="7">
        <v>2</v>
      </c>
      <c r="G3" s="7" t="s">
        <v>25</v>
      </c>
      <c r="H3" s="7"/>
      <c r="I3" s="7" t="s">
        <v>18</v>
      </c>
      <c r="J3" s="7" t="s">
        <v>26</v>
      </c>
      <c r="K3" s="7"/>
      <c r="L3" s="7" t="s">
        <v>27</v>
      </c>
      <c r="M3" s="7" t="s">
        <v>21</v>
      </c>
      <c r="N3" s="7" t="s">
        <v>22</v>
      </c>
      <c r="O3" s="7" t="s">
        <v>23</v>
      </c>
    </row>
    <row r="4" spans="1:15" ht="30" customHeight="1">
      <c r="A4" s="7" t="s">
        <v>28</v>
      </c>
      <c r="B4" s="11">
        <v>46159</v>
      </c>
      <c r="C4" s="10">
        <v>0.63541666666666663</v>
      </c>
      <c r="D4" s="10">
        <f t="shared" si="0"/>
        <v>0.80208333333333326</v>
      </c>
      <c r="E4" s="7" t="s">
        <v>16</v>
      </c>
      <c r="F4" s="7">
        <v>2</v>
      </c>
      <c r="G4" s="7" t="s">
        <v>25</v>
      </c>
      <c r="H4" s="7">
        <v>42.5</v>
      </c>
      <c r="I4" s="7" t="s">
        <v>29</v>
      </c>
      <c r="J4" s="7" t="s">
        <v>30</v>
      </c>
      <c r="K4" s="7"/>
      <c r="L4" s="7" t="s">
        <v>31</v>
      </c>
      <c r="M4" s="7" t="s">
        <v>32</v>
      </c>
      <c r="N4" s="7" t="s">
        <v>22</v>
      </c>
      <c r="O4" s="7" t="s">
        <v>23</v>
      </c>
    </row>
    <row r="5" spans="1:15" ht="15" customHeight="1">
      <c r="A5" s="7" t="s">
        <v>227</v>
      </c>
      <c r="B5" s="11">
        <v>46161</v>
      </c>
      <c r="C5" s="10">
        <v>0.37430555555555561</v>
      </c>
      <c r="D5" s="10">
        <f t="shared" si="0"/>
        <v>0.5409722222222223</v>
      </c>
      <c r="E5" s="7" t="s">
        <v>16</v>
      </c>
      <c r="F5" s="7">
        <v>2</v>
      </c>
      <c r="G5" s="7" t="s">
        <v>25</v>
      </c>
      <c r="H5" s="7"/>
      <c r="I5" s="7" t="s">
        <v>33</v>
      </c>
      <c r="J5" s="7" t="s">
        <v>34</v>
      </c>
      <c r="K5" s="7">
        <v>22</v>
      </c>
      <c r="L5" s="7" t="s">
        <v>35</v>
      </c>
      <c r="M5" s="7" t="s">
        <v>32</v>
      </c>
      <c r="N5" s="7" t="s">
        <v>22</v>
      </c>
      <c r="O5" s="7" t="s">
        <v>23</v>
      </c>
    </row>
    <row r="6" spans="1:15" ht="15" customHeight="1">
      <c r="A6" s="7" t="s">
        <v>228</v>
      </c>
      <c r="B6" s="11">
        <v>46161</v>
      </c>
      <c r="C6" s="10">
        <v>0.37986111111111109</v>
      </c>
      <c r="D6" s="10">
        <f t="shared" si="0"/>
        <v>0.54652777777777772</v>
      </c>
      <c r="E6" s="7" t="s">
        <v>16</v>
      </c>
      <c r="F6" s="7">
        <v>2</v>
      </c>
      <c r="G6" s="7" t="s">
        <v>25</v>
      </c>
      <c r="H6" s="7">
        <v>36</v>
      </c>
      <c r="I6" s="7" t="s">
        <v>36</v>
      </c>
      <c r="J6" s="7" t="s">
        <v>37</v>
      </c>
      <c r="K6" s="7">
        <v>20</v>
      </c>
      <c r="L6" s="7" t="s">
        <v>38</v>
      </c>
      <c r="M6" s="7" t="s">
        <v>32</v>
      </c>
      <c r="N6" s="7" t="s">
        <v>39</v>
      </c>
      <c r="O6" s="7" t="s">
        <v>40</v>
      </c>
    </row>
    <row r="7" spans="1:15" ht="15" customHeight="1">
      <c r="A7" s="7" t="s">
        <v>41</v>
      </c>
      <c r="B7" s="11">
        <v>46161</v>
      </c>
      <c r="C7" s="10">
        <v>0.38194444444444442</v>
      </c>
      <c r="D7" s="10">
        <f t="shared" si="0"/>
        <v>0.54861111111111105</v>
      </c>
      <c r="E7" s="7" t="s">
        <v>16</v>
      </c>
      <c r="F7" s="7">
        <v>2</v>
      </c>
      <c r="G7" s="7" t="s">
        <v>25</v>
      </c>
      <c r="H7" s="7">
        <v>122</v>
      </c>
      <c r="I7" s="7" t="s">
        <v>36</v>
      </c>
      <c r="J7" s="7" t="s">
        <v>42</v>
      </c>
      <c r="K7" s="7">
        <v>32</v>
      </c>
      <c r="L7" s="7" t="s">
        <v>43</v>
      </c>
      <c r="M7" s="7" t="s">
        <v>32</v>
      </c>
      <c r="N7" s="7" t="s">
        <v>22</v>
      </c>
      <c r="O7" s="7" t="s">
        <v>23</v>
      </c>
    </row>
    <row r="8" spans="1:15" ht="15" customHeight="1">
      <c r="A8" s="7" t="s">
        <v>44</v>
      </c>
      <c r="B8" s="11">
        <v>46161</v>
      </c>
      <c r="C8" s="10">
        <v>0.38472222222222219</v>
      </c>
      <c r="D8" s="10">
        <f t="shared" si="0"/>
        <v>0.55138888888888882</v>
      </c>
      <c r="E8" s="7" t="s">
        <v>16</v>
      </c>
      <c r="F8" s="7">
        <v>2</v>
      </c>
      <c r="G8" s="7" t="s">
        <v>25</v>
      </c>
      <c r="H8" s="7">
        <v>130</v>
      </c>
      <c r="I8" s="7" t="s">
        <v>36</v>
      </c>
      <c r="J8" s="7" t="s">
        <v>45</v>
      </c>
      <c r="K8" s="7">
        <v>30</v>
      </c>
      <c r="L8" s="7" t="s">
        <v>46</v>
      </c>
      <c r="M8" s="7" t="s">
        <v>32</v>
      </c>
      <c r="N8" s="7" t="s">
        <v>22</v>
      </c>
      <c r="O8" s="7" t="s">
        <v>23</v>
      </c>
    </row>
    <row r="9" spans="1:15" ht="15" customHeight="1">
      <c r="A9" s="7" t="s">
        <v>47</v>
      </c>
      <c r="B9" s="11">
        <v>46161</v>
      </c>
      <c r="C9" s="10">
        <v>0.38680555555555562</v>
      </c>
      <c r="D9" s="10">
        <f t="shared" si="0"/>
        <v>0.55347222222222225</v>
      </c>
      <c r="E9" s="7" t="s">
        <v>16</v>
      </c>
      <c r="F9" s="7">
        <v>2</v>
      </c>
      <c r="G9" s="7" t="s">
        <v>25</v>
      </c>
      <c r="H9" s="7">
        <v>216</v>
      </c>
      <c r="I9" s="7" t="s">
        <v>36</v>
      </c>
      <c r="J9" s="7" t="s">
        <v>45</v>
      </c>
      <c r="K9" s="7">
        <v>30</v>
      </c>
      <c r="L9" s="7" t="s">
        <v>48</v>
      </c>
      <c r="M9" s="7" t="s">
        <v>32</v>
      </c>
      <c r="N9" s="7" t="s">
        <v>22</v>
      </c>
      <c r="O9" s="7" t="s">
        <v>23</v>
      </c>
    </row>
    <row r="10" spans="1:15" ht="15" customHeight="1">
      <c r="A10" s="7" t="s">
        <v>49</v>
      </c>
      <c r="B10" s="11">
        <v>46161</v>
      </c>
      <c r="C10" s="10">
        <v>0.3888888888888889</v>
      </c>
      <c r="D10" s="10">
        <f t="shared" si="0"/>
        <v>0.55555555555555558</v>
      </c>
      <c r="E10" s="7" t="s">
        <v>16</v>
      </c>
      <c r="F10" s="7">
        <v>3</v>
      </c>
      <c r="G10" s="7" t="s">
        <v>17</v>
      </c>
      <c r="H10" s="7"/>
      <c r="I10" s="7" t="s">
        <v>18</v>
      </c>
      <c r="J10" s="7" t="s">
        <v>50</v>
      </c>
      <c r="K10" s="7"/>
      <c r="L10" s="7" t="s">
        <v>51</v>
      </c>
      <c r="M10" s="7" t="s">
        <v>21</v>
      </c>
      <c r="N10" s="7" t="s">
        <v>39</v>
      </c>
      <c r="O10" s="7" t="s">
        <v>40</v>
      </c>
    </row>
    <row r="11" spans="1:15" ht="15" customHeight="1">
      <c r="A11" s="7" t="s">
        <v>52</v>
      </c>
      <c r="B11" s="11">
        <v>46161</v>
      </c>
      <c r="C11" s="10">
        <v>0.41597222222222219</v>
      </c>
      <c r="D11" s="10">
        <f t="shared" si="0"/>
        <v>0.58263888888888882</v>
      </c>
      <c r="E11" s="7" t="s">
        <v>16</v>
      </c>
      <c r="F11" s="7">
        <v>3</v>
      </c>
      <c r="G11" s="7" t="s">
        <v>17</v>
      </c>
      <c r="H11" s="7">
        <v>10</v>
      </c>
      <c r="I11" s="7" t="s">
        <v>36</v>
      </c>
      <c r="J11" s="7" t="s">
        <v>53</v>
      </c>
      <c r="K11" s="7">
        <v>60</v>
      </c>
      <c r="L11" s="7" t="s">
        <v>54</v>
      </c>
      <c r="M11" s="7" t="s">
        <v>32</v>
      </c>
      <c r="N11" s="7" t="s">
        <v>22</v>
      </c>
      <c r="O11" s="7" t="s">
        <v>23</v>
      </c>
    </row>
    <row r="12" spans="1:15" ht="15" customHeight="1">
      <c r="A12" s="7" t="s">
        <v>55</v>
      </c>
      <c r="B12" s="11">
        <v>46161</v>
      </c>
      <c r="C12" s="10">
        <v>0.42291666666666672</v>
      </c>
      <c r="D12" s="10">
        <f t="shared" si="0"/>
        <v>0.58958333333333335</v>
      </c>
      <c r="E12" s="7" t="s">
        <v>16</v>
      </c>
      <c r="F12" s="7">
        <v>3</v>
      </c>
      <c r="G12" s="7" t="s">
        <v>17</v>
      </c>
      <c r="H12" s="7">
        <v>290</v>
      </c>
      <c r="I12" s="7" t="s">
        <v>36</v>
      </c>
      <c r="J12" s="7" t="s">
        <v>53</v>
      </c>
      <c r="K12" s="7">
        <v>60</v>
      </c>
      <c r="L12" s="7" t="s">
        <v>54</v>
      </c>
      <c r="M12" s="7" t="s">
        <v>32</v>
      </c>
      <c r="N12" s="7" t="s">
        <v>22</v>
      </c>
      <c r="O12" s="7" t="s">
        <v>23</v>
      </c>
    </row>
    <row r="13" spans="1:15" ht="15" customHeight="1">
      <c r="A13" s="7" t="s">
        <v>56</v>
      </c>
      <c r="B13" s="11">
        <v>46161</v>
      </c>
      <c r="C13" s="10">
        <v>0.50138888888888888</v>
      </c>
      <c r="D13" s="10">
        <f t="shared" si="0"/>
        <v>0.66805555555555551</v>
      </c>
      <c r="E13" s="7" t="s">
        <v>57</v>
      </c>
      <c r="F13" s="7">
        <v>4</v>
      </c>
      <c r="G13" s="7" t="s">
        <v>58</v>
      </c>
      <c r="H13" s="7"/>
      <c r="I13" s="7" t="s">
        <v>59</v>
      </c>
      <c r="J13" s="7" t="s">
        <v>60</v>
      </c>
      <c r="K13" s="7"/>
      <c r="L13" s="7" t="s">
        <v>61</v>
      </c>
      <c r="M13" s="7" t="s">
        <v>62</v>
      </c>
      <c r="N13" s="7" t="s">
        <v>22</v>
      </c>
      <c r="O13" s="7" t="s">
        <v>23</v>
      </c>
    </row>
    <row r="15" spans="1:15">
      <c r="A15" t="s">
        <v>63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B9BC-2F0D-0E4B-9C3C-438AD8C36CB0}">
  <dimension ref="A1:I3"/>
  <sheetViews>
    <sheetView workbookViewId="0">
      <selection activeCell="K55" sqref="K55"/>
    </sheetView>
  </sheetViews>
  <sheetFormatPr baseColWidth="10" defaultRowHeight="14"/>
  <cols>
    <col min="3" max="3" width="34" customWidth="1"/>
    <col min="4" max="4" width="18.6640625" customWidth="1"/>
    <col min="5" max="5" width="24.5" customWidth="1"/>
    <col min="6" max="6" width="24.1640625" customWidth="1"/>
  </cols>
  <sheetData>
    <row r="1" spans="1:9" ht="32">
      <c r="A1" s="18" t="s">
        <v>229</v>
      </c>
      <c r="B1" s="19" t="s">
        <v>4</v>
      </c>
      <c r="C1" s="19" t="s">
        <v>230</v>
      </c>
      <c r="D1" s="19" t="s">
        <v>7</v>
      </c>
      <c r="E1" s="19" t="s">
        <v>231</v>
      </c>
      <c r="F1" s="19" t="s">
        <v>232</v>
      </c>
      <c r="G1" s="19" t="s">
        <v>233</v>
      </c>
      <c r="H1" s="19" t="s">
        <v>234</v>
      </c>
      <c r="I1" s="19" t="s">
        <v>235</v>
      </c>
    </row>
    <row r="2" spans="1:9" ht="15">
      <c r="A2" s="20">
        <v>1</v>
      </c>
      <c r="B2" s="21" t="s">
        <v>16</v>
      </c>
      <c r="C2" s="21" t="s">
        <v>238</v>
      </c>
      <c r="D2" s="21">
        <v>10</v>
      </c>
      <c r="E2" s="21">
        <v>28</v>
      </c>
      <c r="F2" s="21">
        <v>216</v>
      </c>
      <c r="G2" s="21">
        <v>60</v>
      </c>
      <c r="H2" s="21"/>
      <c r="I2" s="21" t="s">
        <v>237</v>
      </c>
    </row>
    <row r="3" spans="1:9" ht="15">
      <c r="A3" s="22">
        <v>2</v>
      </c>
      <c r="B3" s="23" t="s">
        <v>16</v>
      </c>
      <c r="C3" s="21" t="s">
        <v>238</v>
      </c>
      <c r="D3" s="23">
        <v>290</v>
      </c>
      <c r="E3" s="21">
        <v>28</v>
      </c>
      <c r="F3" s="21">
        <v>216</v>
      </c>
      <c r="G3" s="23">
        <v>60</v>
      </c>
      <c r="H3" s="23"/>
      <c r="I3" s="23" t="s">
        <v>237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9DD7-74AB-9C40-BC52-BF47EFADD8AD}">
  <dimension ref="A1:J43"/>
  <sheetViews>
    <sheetView workbookViewId="0">
      <selection activeCell="J59" sqref="J59"/>
    </sheetView>
  </sheetViews>
  <sheetFormatPr baseColWidth="10" defaultRowHeight="14"/>
  <cols>
    <col min="3" max="3" width="18.5" customWidth="1"/>
    <col min="4" max="4" width="22.5" customWidth="1"/>
    <col min="5" max="5" width="20.6640625" customWidth="1"/>
    <col min="6" max="6" width="17.6640625" customWidth="1"/>
  </cols>
  <sheetData>
    <row r="1" spans="1:10" ht="16">
      <c r="A1" s="18" t="s">
        <v>229</v>
      </c>
      <c r="B1" s="19" t="s">
        <v>4</v>
      </c>
      <c r="C1" s="19" t="s">
        <v>230</v>
      </c>
      <c r="D1" s="19" t="s">
        <v>7</v>
      </c>
      <c r="E1" s="19" t="s">
        <v>231</v>
      </c>
      <c r="F1" s="19" t="s">
        <v>232</v>
      </c>
      <c r="G1" s="19" t="s">
        <v>233</v>
      </c>
      <c r="H1" s="19" t="s">
        <v>234</v>
      </c>
      <c r="I1" s="19" t="s">
        <v>235</v>
      </c>
      <c r="J1" s="24" t="s">
        <v>11</v>
      </c>
    </row>
    <row r="2" spans="1:10" ht="15">
      <c r="A2" s="20">
        <v>1</v>
      </c>
      <c r="B2" s="21" t="s">
        <v>16</v>
      </c>
      <c r="C2" s="21" t="s">
        <v>239</v>
      </c>
      <c r="D2" s="21">
        <v>104</v>
      </c>
      <c r="E2" s="21">
        <v>68.09</v>
      </c>
      <c r="F2" s="21">
        <v>184.05</v>
      </c>
      <c r="G2" s="21">
        <v>20</v>
      </c>
      <c r="H2" s="21"/>
      <c r="I2" s="21" t="s">
        <v>236</v>
      </c>
    </row>
    <row r="3" spans="1:10" ht="15">
      <c r="A3" s="22">
        <v>2</v>
      </c>
      <c r="B3" s="23" t="s">
        <v>16</v>
      </c>
      <c r="C3" s="21" t="s">
        <v>239</v>
      </c>
      <c r="D3" s="23">
        <v>105</v>
      </c>
      <c r="E3" s="21">
        <v>68.09</v>
      </c>
      <c r="F3" s="21">
        <v>184.05</v>
      </c>
      <c r="G3" s="23">
        <v>20</v>
      </c>
      <c r="H3" s="23"/>
      <c r="I3" s="21" t="s">
        <v>236</v>
      </c>
    </row>
    <row r="4" spans="1:10" ht="15">
      <c r="A4" s="22">
        <f>A3+1</f>
        <v>3</v>
      </c>
      <c r="B4" s="23" t="s">
        <v>16</v>
      </c>
      <c r="C4" s="21" t="s">
        <v>239</v>
      </c>
      <c r="D4" s="23">
        <f>D3+1</f>
        <v>106</v>
      </c>
      <c r="E4" s="21">
        <v>68.09</v>
      </c>
      <c r="F4" s="21">
        <v>184.05</v>
      </c>
      <c r="G4" s="23">
        <v>20</v>
      </c>
      <c r="H4" s="23"/>
      <c r="I4" s="21" t="s">
        <v>236</v>
      </c>
    </row>
    <row r="5" spans="1:10" ht="15">
      <c r="A5" s="22">
        <f t="shared" ref="A5:A39" si="0">A4+1</f>
        <v>4</v>
      </c>
      <c r="B5" s="23" t="s">
        <v>16</v>
      </c>
      <c r="C5" s="21" t="s">
        <v>239</v>
      </c>
      <c r="D5" s="23">
        <f t="shared" ref="D5:D38" si="1">D4+1</f>
        <v>107</v>
      </c>
      <c r="E5" s="21">
        <v>68.09</v>
      </c>
      <c r="F5" s="21">
        <v>184.05</v>
      </c>
      <c r="G5" s="23">
        <v>20</v>
      </c>
      <c r="H5" s="23"/>
      <c r="I5" s="21" t="s">
        <v>236</v>
      </c>
    </row>
    <row r="6" spans="1:10" ht="15">
      <c r="A6" s="22">
        <f t="shared" si="0"/>
        <v>5</v>
      </c>
      <c r="B6" s="23" t="s">
        <v>16</v>
      </c>
      <c r="C6" s="21" t="s">
        <v>239</v>
      </c>
      <c r="D6" s="23">
        <f t="shared" si="1"/>
        <v>108</v>
      </c>
      <c r="E6" s="21">
        <v>68.09</v>
      </c>
      <c r="F6" s="21">
        <v>184.05</v>
      </c>
      <c r="G6" s="23">
        <v>20</v>
      </c>
      <c r="H6" s="23"/>
      <c r="I6" s="21" t="s">
        <v>236</v>
      </c>
    </row>
    <row r="7" spans="1:10" ht="15">
      <c r="A7" s="22">
        <f t="shared" si="0"/>
        <v>6</v>
      </c>
      <c r="B7" s="23" t="s">
        <v>16</v>
      </c>
      <c r="C7" s="21" t="s">
        <v>239</v>
      </c>
      <c r="D7" s="23">
        <f t="shared" si="1"/>
        <v>109</v>
      </c>
      <c r="E7" s="21">
        <v>68.09</v>
      </c>
      <c r="F7" s="21">
        <v>184.05</v>
      </c>
      <c r="G7" s="23">
        <v>20</v>
      </c>
      <c r="H7" s="23"/>
      <c r="I7" s="21" t="s">
        <v>236</v>
      </c>
    </row>
    <row r="8" spans="1:10" ht="15">
      <c r="A8" s="22">
        <f t="shared" si="0"/>
        <v>7</v>
      </c>
      <c r="B8" s="23" t="s">
        <v>16</v>
      </c>
      <c r="C8" s="21" t="s">
        <v>239</v>
      </c>
      <c r="D8" s="23">
        <f t="shared" si="1"/>
        <v>110</v>
      </c>
      <c r="E8" s="21">
        <v>68.09</v>
      </c>
      <c r="F8" s="21">
        <v>184.05</v>
      </c>
      <c r="G8" s="23">
        <v>20</v>
      </c>
      <c r="H8" s="23"/>
      <c r="I8" s="21" t="s">
        <v>236</v>
      </c>
    </row>
    <row r="9" spans="1:10" ht="15">
      <c r="A9" s="22">
        <f t="shared" si="0"/>
        <v>8</v>
      </c>
      <c r="B9" s="23" t="s">
        <v>16</v>
      </c>
      <c r="C9" s="21" t="s">
        <v>239</v>
      </c>
      <c r="D9" s="23">
        <f t="shared" si="1"/>
        <v>111</v>
      </c>
      <c r="E9" s="21">
        <v>68.09</v>
      </c>
      <c r="F9" s="21">
        <v>184.05</v>
      </c>
      <c r="G9" s="23">
        <v>20</v>
      </c>
      <c r="H9" s="23"/>
      <c r="I9" s="21" t="s">
        <v>236</v>
      </c>
    </row>
    <row r="10" spans="1:10" ht="15">
      <c r="A10" s="22">
        <f t="shared" si="0"/>
        <v>9</v>
      </c>
      <c r="B10" s="23" t="s">
        <v>16</v>
      </c>
      <c r="C10" s="21" t="s">
        <v>239</v>
      </c>
      <c r="D10" s="23">
        <f t="shared" si="1"/>
        <v>112</v>
      </c>
      <c r="E10" s="21">
        <v>68.09</v>
      </c>
      <c r="F10" s="21">
        <v>184.05</v>
      </c>
      <c r="G10" s="23">
        <v>20</v>
      </c>
      <c r="H10" s="23"/>
      <c r="I10" s="21" t="s">
        <v>236</v>
      </c>
    </row>
    <row r="11" spans="1:10" ht="15">
      <c r="A11" s="22">
        <f t="shared" si="0"/>
        <v>10</v>
      </c>
      <c r="B11" s="23" t="s">
        <v>16</v>
      </c>
      <c r="C11" s="21" t="s">
        <v>239</v>
      </c>
      <c r="D11" s="23">
        <f t="shared" si="1"/>
        <v>113</v>
      </c>
      <c r="E11" s="21">
        <v>68.09</v>
      </c>
      <c r="F11" s="21">
        <v>184.05</v>
      </c>
      <c r="G11" s="23">
        <v>20</v>
      </c>
      <c r="H11" s="23"/>
      <c r="I11" s="21" t="s">
        <v>236</v>
      </c>
    </row>
    <row r="12" spans="1:10" ht="15">
      <c r="A12" s="22">
        <f t="shared" si="0"/>
        <v>11</v>
      </c>
      <c r="B12" s="23" t="s">
        <v>16</v>
      </c>
      <c r="C12" s="21" t="s">
        <v>239</v>
      </c>
      <c r="D12" s="23">
        <f t="shared" si="1"/>
        <v>114</v>
      </c>
      <c r="E12" s="21">
        <v>68.09</v>
      </c>
      <c r="F12" s="21">
        <v>184.05</v>
      </c>
      <c r="G12" s="23">
        <v>20</v>
      </c>
      <c r="H12" s="23"/>
      <c r="I12" s="21" t="s">
        <v>236</v>
      </c>
    </row>
    <row r="13" spans="1:10" ht="15">
      <c r="A13" s="22">
        <f t="shared" si="0"/>
        <v>12</v>
      </c>
      <c r="B13" s="23" t="s">
        <v>16</v>
      </c>
      <c r="C13" s="21" t="s">
        <v>239</v>
      </c>
      <c r="D13" s="23">
        <f t="shared" si="1"/>
        <v>115</v>
      </c>
      <c r="E13" s="21">
        <v>68.09</v>
      </c>
      <c r="F13" s="21">
        <v>184.05</v>
      </c>
      <c r="G13" s="23">
        <v>20</v>
      </c>
      <c r="H13" s="23"/>
      <c r="I13" s="21" t="s">
        <v>236</v>
      </c>
    </row>
    <row r="14" spans="1:10" ht="15">
      <c r="A14" s="22">
        <f t="shared" si="0"/>
        <v>13</v>
      </c>
      <c r="B14" s="23" t="s">
        <v>16</v>
      </c>
      <c r="C14" s="21" t="s">
        <v>239</v>
      </c>
      <c r="D14" s="23">
        <f t="shared" si="1"/>
        <v>116</v>
      </c>
      <c r="E14" s="21">
        <v>68.09</v>
      </c>
      <c r="F14" s="21">
        <v>184.05</v>
      </c>
      <c r="G14" s="23">
        <v>20</v>
      </c>
      <c r="H14" s="23"/>
      <c r="I14" s="21" t="s">
        <v>236</v>
      </c>
    </row>
    <row r="15" spans="1:10" ht="15">
      <c r="A15" s="22">
        <f t="shared" si="0"/>
        <v>14</v>
      </c>
      <c r="B15" s="23" t="s">
        <v>16</v>
      </c>
      <c r="C15" s="21" t="s">
        <v>239</v>
      </c>
      <c r="D15" s="23">
        <f t="shared" si="1"/>
        <v>117</v>
      </c>
      <c r="E15" s="21">
        <v>68.09</v>
      </c>
      <c r="F15" s="21">
        <v>184.05</v>
      </c>
      <c r="G15" s="23">
        <v>20</v>
      </c>
      <c r="H15" s="23"/>
      <c r="I15" s="21" t="s">
        <v>236</v>
      </c>
    </row>
    <row r="16" spans="1:10" ht="15">
      <c r="A16" s="22">
        <f t="shared" si="0"/>
        <v>15</v>
      </c>
      <c r="B16" s="23" t="s">
        <v>16</v>
      </c>
      <c r="C16" s="21" t="s">
        <v>239</v>
      </c>
      <c r="D16" s="23">
        <f t="shared" si="1"/>
        <v>118</v>
      </c>
      <c r="E16" s="21">
        <v>68.09</v>
      </c>
      <c r="F16" s="21">
        <v>184.05</v>
      </c>
      <c r="G16" s="23">
        <v>20</v>
      </c>
      <c r="H16" s="23"/>
      <c r="I16" s="21" t="s">
        <v>236</v>
      </c>
    </row>
    <row r="17" spans="1:10" ht="15">
      <c r="A17" s="22">
        <f t="shared" si="0"/>
        <v>16</v>
      </c>
      <c r="B17" s="23" t="s">
        <v>16</v>
      </c>
      <c r="C17" s="21" t="s">
        <v>239</v>
      </c>
      <c r="D17" s="23">
        <f t="shared" si="1"/>
        <v>119</v>
      </c>
      <c r="E17" s="21">
        <v>68.09</v>
      </c>
      <c r="F17" s="21">
        <v>184.05</v>
      </c>
      <c r="G17" s="23">
        <v>20</v>
      </c>
      <c r="H17" s="23"/>
      <c r="I17" s="21" t="s">
        <v>236</v>
      </c>
    </row>
    <row r="18" spans="1:10" ht="15">
      <c r="A18" s="22">
        <f t="shared" si="0"/>
        <v>17</v>
      </c>
      <c r="B18" s="23" t="s">
        <v>16</v>
      </c>
      <c r="C18" s="21" t="s">
        <v>239</v>
      </c>
      <c r="D18" s="23">
        <f t="shared" si="1"/>
        <v>120</v>
      </c>
      <c r="E18" s="21">
        <v>68.09</v>
      </c>
      <c r="F18" s="21">
        <v>184.05</v>
      </c>
      <c r="G18" s="23">
        <v>20</v>
      </c>
      <c r="H18" s="23"/>
      <c r="I18" s="21" t="s">
        <v>236</v>
      </c>
    </row>
    <row r="19" spans="1:10" ht="15">
      <c r="A19" s="22">
        <f t="shared" si="0"/>
        <v>18</v>
      </c>
      <c r="B19" s="23" t="s">
        <v>16</v>
      </c>
      <c r="C19" s="21" t="s">
        <v>239</v>
      </c>
      <c r="D19" s="23">
        <f t="shared" si="1"/>
        <v>121</v>
      </c>
      <c r="E19" s="21">
        <v>68.09</v>
      </c>
      <c r="F19" s="21">
        <v>184.05</v>
      </c>
      <c r="G19" s="23">
        <v>20</v>
      </c>
      <c r="H19" s="23"/>
      <c r="I19" s="21" t="s">
        <v>236</v>
      </c>
    </row>
    <row r="20" spans="1:10" ht="15">
      <c r="A20" s="22">
        <f t="shared" si="0"/>
        <v>19</v>
      </c>
      <c r="B20" s="23" t="s">
        <v>16</v>
      </c>
      <c r="C20" s="21" t="s">
        <v>239</v>
      </c>
      <c r="D20" s="23">
        <f t="shared" si="1"/>
        <v>122</v>
      </c>
      <c r="E20" s="21">
        <v>68.09</v>
      </c>
      <c r="F20" s="21">
        <v>184.05</v>
      </c>
      <c r="G20" s="23">
        <v>20</v>
      </c>
      <c r="H20" s="23"/>
      <c r="I20" s="21" t="s">
        <v>236</v>
      </c>
    </row>
    <row r="21" spans="1:10" ht="15">
      <c r="A21" s="22">
        <f t="shared" si="0"/>
        <v>20</v>
      </c>
      <c r="B21" s="23" t="s">
        <v>16</v>
      </c>
      <c r="C21" s="21" t="s">
        <v>239</v>
      </c>
      <c r="D21" s="23">
        <f t="shared" si="1"/>
        <v>123</v>
      </c>
      <c r="E21" s="21">
        <v>68.09</v>
      </c>
      <c r="F21" s="21">
        <v>184.05</v>
      </c>
      <c r="G21" s="23">
        <v>20</v>
      </c>
      <c r="H21" s="23"/>
      <c r="I21" s="21" t="s">
        <v>236</v>
      </c>
    </row>
    <row r="22" spans="1:10" ht="15">
      <c r="A22" s="22">
        <f t="shared" si="0"/>
        <v>21</v>
      </c>
      <c r="B22" s="23" t="s">
        <v>16</v>
      </c>
      <c r="C22" s="21" t="s">
        <v>239</v>
      </c>
      <c r="D22" s="23">
        <f t="shared" si="1"/>
        <v>124</v>
      </c>
      <c r="E22" s="21">
        <v>68.09</v>
      </c>
      <c r="F22" s="21">
        <v>184.05</v>
      </c>
      <c r="G22" s="23">
        <v>20</v>
      </c>
      <c r="H22" s="23"/>
      <c r="I22" s="21" t="s">
        <v>236</v>
      </c>
    </row>
    <row r="23" spans="1:10" ht="15">
      <c r="A23" s="22">
        <f t="shared" si="0"/>
        <v>22</v>
      </c>
      <c r="B23" s="23" t="s">
        <v>16</v>
      </c>
      <c r="C23" s="21" t="s">
        <v>239</v>
      </c>
      <c r="D23" s="23">
        <f t="shared" si="1"/>
        <v>125</v>
      </c>
      <c r="E23" s="21">
        <v>68.09</v>
      </c>
      <c r="F23" s="21">
        <v>184.05</v>
      </c>
      <c r="G23" s="23">
        <v>20</v>
      </c>
      <c r="H23" s="23"/>
      <c r="I23" s="21" t="s">
        <v>236</v>
      </c>
    </row>
    <row r="24" spans="1:10" ht="15">
      <c r="A24" s="22">
        <f t="shared" si="0"/>
        <v>23</v>
      </c>
      <c r="B24" s="23" t="s">
        <v>16</v>
      </c>
      <c r="C24" s="21" t="s">
        <v>239</v>
      </c>
      <c r="D24" s="23">
        <f t="shared" si="1"/>
        <v>126</v>
      </c>
      <c r="E24" s="21">
        <v>68.09</v>
      </c>
      <c r="F24" s="21">
        <v>184.05</v>
      </c>
      <c r="G24" s="23">
        <v>20</v>
      </c>
      <c r="H24" s="23"/>
      <c r="I24" s="21" t="s">
        <v>236</v>
      </c>
    </row>
    <row r="25" spans="1:10" ht="15">
      <c r="A25" s="22">
        <f t="shared" si="0"/>
        <v>24</v>
      </c>
      <c r="B25" s="23" t="s">
        <v>16</v>
      </c>
      <c r="C25" s="21" t="s">
        <v>239</v>
      </c>
      <c r="D25" s="23">
        <f t="shared" si="1"/>
        <v>127</v>
      </c>
      <c r="E25" s="21">
        <v>68.09</v>
      </c>
      <c r="F25" s="21">
        <v>184.05</v>
      </c>
      <c r="G25" s="23">
        <v>20</v>
      </c>
      <c r="H25" s="23"/>
      <c r="I25" s="21" t="s">
        <v>236</v>
      </c>
      <c r="J25" t="s">
        <v>240</v>
      </c>
    </row>
    <row r="26" spans="1:10" ht="15">
      <c r="A26" s="22">
        <f t="shared" si="0"/>
        <v>25</v>
      </c>
      <c r="B26" s="23" t="s">
        <v>16</v>
      </c>
      <c r="C26" s="21" t="s">
        <v>239</v>
      </c>
      <c r="D26" s="23">
        <f t="shared" si="1"/>
        <v>128</v>
      </c>
      <c r="E26" s="21">
        <v>68.09</v>
      </c>
      <c r="F26" s="21">
        <v>184.05</v>
      </c>
      <c r="G26" s="23">
        <v>20</v>
      </c>
      <c r="H26" s="23"/>
      <c r="I26" s="21" t="s">
        <v>236</v>
      </c>
    </row>
    <row r="27" spans="1:10" ht="15">
      <c r="A27" s="22">
        <f t="shared" si="0"/>
        <v>26</v>
      </c>
      <c r="B27" s="23" t="s">
        <v>16</v>
      </c>
      <c r="C27" s="21" t="s">
        <v>239</v>
      </c>
      <c r="D27" s="23">
        <f t="shared" si="1"/>
        <v>129</v>
      </c>
      <c r="E27" s="21">
        <v>68.09</v>
      </c>
      <c r="F27" s="21">
        <v>184.05</v>
      </c>
      <c r="G27" s="23">
        <v>20</v>
      </c>
      <c r="H27" s="23"/>
      <c r="I27" s="21" t="s">
        <v>236</v>
      </c>
    </row>
    <row r="28" spans="1:10" ht="15">
      <c r="A28" s="22">
        <f t="shared" si="0"/>
        <v>27</v>
      </c>
      <c r="B28" s="23" t="s">
        <v>16</v>
      </c>
      <c r="C28" s="21" t="s">
        <v>239</v>
      </c>
      <c r="D28" s="23">
        <f t="shared" si="1"/>
        <v>130</v>
      </c>
      <c r="E28" s="21">
        <v>68.09</v>
      </c>
      <c r="F28" s="21">
        <v>184.05</v>
      </c>
      <c r="G28" s="23">
        <v>20</v>
      </c>
      <c r="H28" s="23"/>
      <c r="I28" s="21" t="s">
        <v>236</v>
      </c>
    </row>
    <row r="29" spans="1:10" ht="15">
      <c r="A29" s="22">
        <f t="shared" si="0"/>
        <v>28</v>
      </c>
      <c r="B29" s="23" t="s">
        <v>16</v>
      </c>
      <c r="C29" s="21" t="s">
        <v>239</v>
      </c>
      <c r="D29" s="23">
        <f t="shared" si="1"/>
        <v>131</v>
      </c>
      <c r="E29" s="21">
        <v>68.09</v>
      </c>
      <c r="F29" s="21">
        <v>184.05</v>
      </c>
      <c r="G29" s="23">
        <v>20</v>
      </c>
      <c r="H29" s="23"/>
      <c r="I29" s="21" t="s">
        <v>236</v>
      </c>
    </row>
    <row r="30" spans="1:10" ht="15">
      <c r="A30" s="22">
        <f t="shared" si="0"/>
        <v>29</v>
      </c>
      <c r="B30" s="23" t="s">
        <v>16</v>
      </c>
      <c r="C30" s="21" t="s">
        <v>239</v>
      </c>
      <c r="D30" s="23">
        <f t="shared" si="1"/>
        <v>132</v>
      </c>
      <c r="E30" s="21">
        <v>68.09</v>
      </c>
      <c r="F30" s="21">
        <v>184.05</v>
      </c>
      <c r="G30" s="23">
        <v>20</v>
      </c>
      <c r="H30" s="23"/>
      <c r="I30" s="21" t="s">
        <v>236</v>
      </c>
    </row>
    <row r="31" spans="1:10" ht="15">
      <c r="A31" s="22">
        <f t="shared" si="0"/>
        <v>30</v>
      </c>
      <c r="B31" s="23" t="s">
        <v>16</v>
      </c>
      <c r="C31" s="21" t="s">
        <v>239</v>
      </c>
      <c r="D31" s="23">
        <f t="shared" si="1"/>
        <v>133</v>
      </c>
      <c r="E31" s="21">
        <v>68.09</v>
      </c>
      <c r="F31" s="21">
        <v>184.05</v>
      </c>
      <c r="G31" s="23">
        <v>20</v>
      </c>
      <c r="H31" s="23"/>
      <c r="I31" s="21" t="s">
        <v>236</v>
      </c>
    </row>
    <row r="32" spans="1:10" ht="15">
      <c r="A32" s="22">
        <f t="shared" si="0"/>
        <v>31</v>
      </c>
      <c r="B32" s="23" t="s">
        <v>16</v>
      </c>
      <c r="C32" s="21" t="s">
        <v>239</v>
      </c>
      <c r="D32" s="23">
        <f t="shared" si="1"/>
        <v>134</v>
      </c>
      <c r="E32" s="21">
        <v>68.09</v>
      </c>
      <c r="F32" s="21">
        <v>184.05</v>
      </c>
      <c r="G32" s="23">
        <v>20</v>
      </c>
      <c r="H32" s="23"/>
      <c r="I32" s="21" t="s">
        <v>236</v>
      </c>
    </row>
    <row r="33" spans="1:10" ht="15">
      <c r="A33" s="22">
        <f t="shared" si="0"/>
        <v>32</v>
      </c>
      <c r="B33" s="23" t="s">
        <v>16</v>
      </c>
      <c r="C33" s="21" t="s">
        <v>239</v>
      </c>
      <c r="D33" s="23">
        <f t="shared" si="1"/>
        <v>135</v>
      </c>
      <c r="E33" s="21">
        <v>68.09</v>
      </c>
      <c r="F33" s="21">
        <v>184.05</v>
      </c>
      <c r="G33" s="23">
        <v>20</v>
      </c>
      <c r="H33" s="23"/>
      <c r="I33" s="21" t="s">
        <v>236</v>
      </c>
    </row>
    <row r="34" spans="1:10" ht="15">
      <c r="A34" s="22">
        <f t="shared" si="0"/>
        <v>33</v>
      </c>
      <c r="B34" s="23" t="s">
        <v>16</v>
      </c>
      <c r="C34" s="21" t="s">
        <v>239</v>
      </c>
      <c r="D34" s="23">
        <f t="shared" si="1"/>
        <v>136</v>
      </c>
      <c r="E34" s="21">
        <v>68.09</v>
      </c>
      <c r="F34" s="21">
        <v>184.05</v>
      </c>
      <c r="G34" s="23">
        <v>20</v>
      </c>
      <c r="H34" s="23"/>
      <c r="I34" s="21" t="s">
        <v>236</v>
      </c>
    </row>
    <row r="35" spans="1:10" ht="15">
      <c r="A35" s="22">
        <f t="shared" si="0"/>
        <v>34</v>
      </c>
      <c r="B35" s="23" t="s">
        <v>16</v>
      </c>
      <c r="C35" s="21" t="s">
        <v>239</v>
      </c>
      <c r="D35" s="23">
        <f t="shared" si="1"/>
        <v>137</v>
      </c>
      <c r="E35" s="21">
        <v>68.09</v>
      </c>
      <c r="F35" s="21">
        <v>184.05</v>
      </c>
      <c r="G35" s="23">
        <v>20</v>
      </c>
      <c r="H35" s="23"/>
      <c r="I35" s="21" t="s">
        <v>236</v>
      </c>
    </row>
    <row r="36" spans="1:10" ht="15">
      <c r="A36" s="22">
        <f t="shared" si="0"/>
        <v>35</v>
      </c>
      <c r="B36" s="23" t="s">
        <v>16</v>
      </c>
      <c r="C36" s="21" t="s">
        <v>239</v>
      </c>
      <c r="D36" s="23">
        <f t="shared" si="1"/>
        <v>138</v>
      </c>
      <c r="E36" s="21">
        <v>68.09</v>
      </c>
      <c r="F36" s="21">
        <v>184.05</v>
      </c>
      <c r="G36" s="23">
        <v>20</v>
      </c>
      <c r="H36" s="23"/>
      <c r="I36" s="21" t="s">
        <v>236</v>
      </c>
    </row>
    <row r="37" spans="1:10" ht="15">
      <c r="A37" s="22">
        <f t="shared" si="0"/>
        <v>36</v>
      </c>
      <c r="B37" s="23" t="s">
        <v>16</v>
      </c>
      <c r="C37" s="21" t="s">
        <v>239</v>
      </c>
      <c r="D37" s="23">
        <f t="shared" si="1"/>
        <v>139</v>
      </c>
      <c r="E37" s="21">
        <v>68.09</v>
      </c>
      <c r="F37" s="21">
        <v>184.05</v>
      </c>
      <c r="G37" s="23">
        <v>20</v>
      </c>
      <c r="H37" s="23"/>
      <c r="I37" s="21" t="s">
        <v>236</v>
      </c>
    </row>
    <row r="38" spans="1:10" ht="15">
      <c r="A38" s="22">
        <f t="shared" si="0"/>
        <v>37</v>
      </c>
      <c r="B38" s="23" t="s">
        <v>16</v>
      </c>
      <c r="C38" s="21" t="s">
        <v>239</v>
      </c>
      <c r="D38" s="23">
        <f t="shared" si="1"/>
        <v>140</v>
      </c>
      <c r="E38" s="21">
        <v>68.09</v>
      </c>
      <c r="F38" s="21">
        <v>184.05</v>
      </c>
      <c r="G38" s="23">
        <v>20</v>
      </c>
      <c r="H38" s="23"/>
      <c r="I38" s="21" t="s">
        <v>236</v>
      </c>
    </row>
    <row r="39" spans="1:10" ht="15">
      <c r="A39" s="22">
        <f t="shared" si="0"/>
        <v>38</v>
      </c>
      <c r="B39" s="23" t="s">
        <v>16</v>
      </c>
      <c r="C39" s="21" t="s">
        <v>239</v>
      </c>
      <c r="D39" s="21">
        <v>36</v>
      </c>
      <c r="E39" s="21">
        <v>68.09</v>
      </c>
      <c r="F39" s="21">
        <v>184.05</v>
      </c>
      <c r="G39" s="21">
        <v>22</v>
      </c>
      <c r="H39" s="21"/>
      <c r="I39" s="21" t="s">
        <v>237</v>
      </c>
    </row>
    <row r="40" spans="1:10" ht="15">
      <c r="A40" s="22">
        <f t="shared" ref="A40:A43" si="2">A39+1</f>
        <v>39</v>
      </c>
      <c r="B40" s="23" t="s">
        <v>16</v>
      </c>
      <c r="C40" s="21" t="s">
        <v>239</v>
      </c>
      <c r="D40" s="21">
        <v>114</v>
      </c>
      <c r="E40" s="21">
        <v>68.09</v>
      </c>
      <c r="F40" s="21">
        <v>184.05</v>
      </c>
      <c r="G40" s="21">
        <v>20</v>
      </c>
      <c r="H40" s="21"/>
      <c r="I40" s="21" t="s">
        <v>237</v>
      </c>
      <c r="J40" t="s">
        <v>241</v>
      </c>
    </row>
    <row r="41" spans="1:10" ht="15">
      <c r="A41" s="22">
        <f t="shared" si="2"/>
        <v>40</v>
      </c>
      <c r="B41" s="23" t="s">
        <v>16</v>
      </c>
      <c r="C41" s="21" t="s">
        <v>239</v>
      </c>
      <c r="D41" s="21">
        <v>122</v>
      </c>
      <c r="E41" s="21">
        <v>68.09</v>
      </c>
      <c r="F41" s="21">
        <v>184.05</v>
      </c>
      <c r="G41" s="21">
        <v>32</v>
      </c>
      <c r="H41" s="21"/>
      <c r="I41" s="21" t="s">
        <v>237</v>
      </c>
    </row>
    <row r="42" spans="1:10" ht="15">
      <c r="A42" s="22">
        <f t="shared" si="2"/>
        <v>41</v>
      </c>
      <c r="B42" s="23" t="s">
        <v>16</v>
      </c>
      <c r="C42" s="21" t="s">
        <v>239</v>
      </c>
      <c r="D42" s="21">
        <v>130</v>
      </c>
      <c r="E42" s="21">
        <v>68.09</v>
      </c>
      <c r="F42" s="21">
        <v>184.05</v>
      </c>
      <c r="G42" s="21">
        <v>30</v>
      </c>
      <c r="H42" s="21"/>
      <c r="I42" s="21" t="s">
        <v>237</v>
      </c>
    </row>
    <row r="43" spans="1:10" ht="15">
      <c r="A43" s="22">
        <f t="shared" si="2"/>
        <v>42</v>
      </c>
      <c r="B43" s="23" t="s">
        <v>16</v>
      </c>
      <c r="C43" s="21" t="s">
        <v>239</v>
      </c>
      <c r="D43" s="23">
        <v>216</v>
      </c>
      <c r="E43" s="21">
        <v>68.09</v>
      </c>
      <c r="F43" s="21">
        <v>184.05</v>
      </c>
      <c r="G43" s="23">
        <v>30</v>
      </c>
      <c r="H43" s="23"/>
      <c r="I43" s="23" t="s">
        <v>237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2"/>
  <sheetViews>
    <sheetView workbookViewId="0"/>
  </sheetViews>
  <sheetFormatPr baseColWidth="10" defaultColWidth="8.83203125" defaultRowHeight="14"/>
  <sheetData>
    <row r="1" spans="1:2">
      <c r="A1" t="s">
        <v>213</v>
      </c>
    </row>
    <row r="3" spans="1:2">
      <c r="A3" t="s">
        <v>214</v>
      </c>
    </row>
    <row r="4" spans="1:2">
      <c r="A4" t="s">
        <v>215</v>
      </c>
      <c r="B4">
        <v>30.127016000000001</v>
      </c>
    </row>
    <row r="5" spans="1:2">
      <c r="A5" t="s">
        <v>216</v>
      </c>
      <c r="B5">
        <v>-83.229005999999998</v>
      </c>
    </row>
    <row r="6" spans="1:2">
      <c r="A6" t="s">
        <v>217</v>
      </c>
      <c r="B6" t="s">
        <v>218</v>
      </c>
    </row>
    <row r="7" spans="1:2">
      <c r="A7" t="s">
        <v>219</v>
      </c>
      <c r="B7" t="s">
        <v>220</v>
      </c>
    </row>
    <row r="8" spans="1:2">
      <c r="A8" t="s">
        <v>221</v>
      </c>
      <c r="B8" t="s">
        <v>222</v>
      </c>
    </row>
    <row r="9" spans="1:2">
      <c r="A9" t="s">
        <v>223</v>
      </c>
      <c r="B9" t="s">
        <v>224</v>
      </c>
    </row>
    <row r="11" spans="1:2">
      <c r="A11" t="s">
        <v>225</v>
      </c>
    </row>
    <row r="12" spans="1:2">
      <c r="A12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Geometry_Windows</vt:lpstr>
      <vt:lpstr>T1_N1_Geometry</vt:lpstr>
      <vt:lpstr>T1_N2_Geometry</vt:lpstr>
      <vt:lpstr>T3_N4_Geometry</vt:lpstr>
      <vt:lpstr>Combined_By_Window</vt:lpstr>
      <vt:lpstr>QC_Summary</vt:lpstr>
      <vt:lpstr>Serial_Lookup</vt:lpstr>
      <vt:lpstr>Geometry_Plot_Data</vt:lpstr>
      <vt:lpstr>Nodal_Special_Events</vt:lpstr>
      <vt:lpstr>T1_N1_Refraction</vt:lpstr>
      <vt:lpstr>T1_N2_Refraction</vt:lpstr>
      <vt:lpstr>Coordinate_Methodology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Glenn Thompson</cp:lastModifiedBy>
  <dcterms:created xsi:type="dcterms:W3CDTF">2026-06-03T14:13:40Z</dcterms:created>
  <dcterms:modified xsi:type="dcterms:W3CDTF">2026-06-15T23:47:14Z</dcterms:modified>
</cp:coreProperties>
</file>