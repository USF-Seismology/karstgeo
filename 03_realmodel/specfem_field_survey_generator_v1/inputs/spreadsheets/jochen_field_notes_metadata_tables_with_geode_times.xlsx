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lennthompson/Developer/karstgeo/03_realmodel/specfem_field_survey_generator_v1/inputs/spreadsheets/"/>
    </mc:Choice>
  </mc:AlternateContent>
  <xr:revisionPtr revIDLastSave="0" documentId="13_ncr:1_{3A099BE0-FA7F-F846-9716-528BCBDF7D5A}" xr6:coauthVersionLast="47" xr6:coauthVersionMax="47" xr10:uidLastSave="{00000000-0000-0000-0000-000000000000}"/>
  <bookViews>
    <workbookView xWindow="4480" yWindow="13380" windowWidth="64360" windowHeight="23820" activeTab="4" xr2:uid="{00000000-000D-0000-FFFF-FFFF00000000}"/>
  </bookViews>
  <sheets>
    <sheet name="README" sheetId="1" r:id="rId1"/>
    <sheet name="Transect_Crosswalk" sheetId="2" r:id="rId2"/>
    <sheet name="Acquisition_Summary" sheetId="3" r:id="rId3"/>
    <sheet name="T1_1m_Refraction" sheetId="4" r:id="rId4"/>
    <sheet name="T1_2m_Refraction" sheetId="5" r:id="rId5"/>
    <sheet name="T1_Streamer_MASW" sheetId="6" r:id="rId6"/>
    <sheet name="T2_Streamer_MASW" sheetId="7" r:id="rId7"/>
    <sheet name="T3_1m_Refraction" sheetId="8" r:id="rId8"/>
    <sheet name="T4_1m_Refraction" sheetId="9" r:id="rId9"/>
    <sheet name="Review_Issues" sheetId="10" r:id="rId10"/>
    <sheet name="Geode_Time_Extraction_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9" l="1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B17" i="9"/>
  <c r="E16" i="9"/>
  <c r="B16" i="9"/>
  <c r="E15" i="9"/>
  <c r="B15" i="9"/>
  <c r="E14" i="9"/>
  <c r="B14" i="9"/>
  <c r="E13" i="9"/>
  <c r="B13" i="9"/>
  <c r="E12" i="9"/>
  <c r="B12" i="9"/>
  <c r="E11" i="9"/>
  <c r="B11" i="9"/>
  <c r="E10" i="9"/>
  <c r="B10" i="9"/>
  <c r="E9" i="9"/>
  <c r="B9" i="9"/>
  <c r="E8" i="9"/>
  <c r="B8" i="9"/>
  <c r="E7" i="9"/>
  <c r="B7" i="9"/>
  <c r="E6" i="9"/>
  <c r="B6" i="9"/>
  <c r="E5" i="9"/>
  <c r="B5" i="9"/>
  <c r="E4" i="9"/>
  <c r="B4" i="9"/>
  <c r="E3" i="9"/>
  <c r="B3" i="9"/>
  <c r="E2" i="9"/>
  <c r="B2" i="9"/>
  <c r="E40" i="8"/>
  <c r="B40" i="8"/>
  <c r="E39" i="8"/>
  <c r="B39" i="8"/>
  <c r="E38" i="8"/>
  <c r="B38" i="8"/>
  <c r="E37" i="8"/>
  <c r="B37" i="8"/>
  <c r="E36" i="8"/>
  <c r="B36" i="8"/>
  <c r="E35" i="8"/>
  <c r="B35" i="8"/>
  <c r="E34" i="8"/>
  <c r="B34" i="8"/>
  <c r="E33" i="8"/>
  <c r="B33" i="8"/>
  <c r="E32" i="8"/>
  <c r="B32" i="8"/>
  <c r="E31" i="8"/>
  <c r="B31" i="8"/>
  <c r="E30" i="8"/>
  <c r="B30" i="8"/>
  <c r="E29" i="8"/>
  <c r="B29" i="8"/>
  <c r="E28" i="8"/>
  <c r="B28" i="8"/>
  <c r="E27" i="8"/>
  <c r="B27" i="8"/>
  <c r="E26" i="8"/>
  <c r="B26" i="8"/>
  <c r="E25" i="8"/>
  <c r="B25" i="8"/>
  <c r="E24" i="8"/>
  <c r="B24" i="8"/>
  <c r="E23" i="8"/>
  <c r="B23" i="8"/>
  <c r="E22" i="8"/>
  <c r="B22" i="8"/>
  <c r="E21" i="8"/>
  <c r="B21" i="8"/>
  <c r="E20" i="8"/>
  <c r="B20" i="8"/>
  <c r="E19" i="8"/>
  <c r="B19" i="8"/>
  <c r="E18" i="8"/>
  <c r="B18" i="8"/>
  <c r="E17" i="8"/>
  <c r="B17" i="8"/>
  <c r="E16" i="8"/>
  <c r="B16" i="8"/>
  <c r="E15" i="8"/>
  <c r="B15" i="8"/>
  <c r="E14" i="8"/>
  <c r="B14" i="8"/>
  <c r="E13" i="8"/>
  <c r="B13" i="8"/>
  <c r="E12" i="8"/>
  <c r="B12" i="8"/>
  <c r="E11" i="8"/>
  <c r="B11" i="8"/>
  <c r="E10" i="8"/>
  <c r="B10" i="8"/>
  <c r="E9" i="8"/>
  <c r="B9" i="8"/>
  <c r="E8" i="8"/>
  <c r="B8" i="8"/>
  <c r="E7" i="8"/>
  <c r="B7" i="8"/>
  <c r="E6" i="8"/>
  <c r="B6" i="8"/>
  <c r="E5" i="8"/>
  <c r="B5" i="8"/>
  <c r="E4" i="8"/>
  <c r="B4" i="8"/>
  <c r="E3" i="8"/>
  <c r="B3" i="8"/>
  <c r="E2" i="8"/>
  <c r="B2" i="8"/>
  <c r="E84" i="6"/>
  <c r="B84" i="6"/>
  <c r="E83" i="6"/>
  <c r="B83" i="6"/>
  <c r="E82" i="6"/>
  <c r="B82" i="6"/>
  <c r="E81" i="6"/>
  <c r="B81" i="6"/>
  <c r="E80" i="6"/>
  <c r="B80" i="6"/>
  <c r="E79" i="6"/>
  <c r="B79" i="6"/>
  <c r="E78" i="6"/>
  <c r="B78" i="6"/>
  <c r="E77" i="6"/>
  <c r="B77" i="6"/>
  <c r="E76" i="6"/>
  <c r="B76" i="6"/>
  <c r="E75" i="6"/>
  <c r="B75" i="6"/>
  <c r="E74" i="6"/>
  <c r="B74" i="6"/>
  <c r="E73" i="6"/>
  <c r="B73" i="6"/>
  <c r="E72" i="6"/>
  <c r="B72" i="6"/>
  <c r="E71" i="6"/>
  <c r="B71" i="6"/>
  <c r="E70" i="6"/>
  <c r="B70" i="6"/>
  <c r="E69" i="6"/>
  <c r="B69" i="6"/>
  <c r="E68" i="6"/>
  <c r="B68" i="6"/>
  <c r="E67" i="6"/>
  <c r="B67" i="6"/>
  <c r="E66" i="6"/>
  <c r="B66" i="6"/>
  <c r="E65" i="6"/>
  <c r="B65" i="6"/>
  <c r="E64" i="6"/>
  <c r="B64" i="6"/>
  <c r="E63" i="6"/>
  <c r="B63" i="6"/>
  <c r="E62" i="6"/>
  <c r="B62" i="6"/>
  <c r="E61" i="6"/>
  <c r="B61" i="6"/>
  <c r="E60" i="6"/>
  <c r="B60" i="6"/>
  <c r="E59" i="6"/>
  <c r="B59" i="6"/>
  <c r="E58" i="6"/>
  <c r="B58" i="6"/>
  <c r="E57" i="6"/>
  <c r="B57" i="6"/>
  <c r="E56" i="6"/>
  <c r="B56" i="6"/>
  <c r="E55" i="6"/>
  <c r="B55" i="6"/>
  <c r="E54" i="6"/>
  <c r="B54" i="6"/>
  <c r="E53" i="6"/>
  <c r="B53" i="6"/>
  <c r="E52" i="6"/>
  <c r="B52" i="6"/>
  <c r="E51" i="6"/>
  <c r="B51" i="6"/>
  <c r="E50" i="6"/>
  <c r="B50" i="6"/>
  <c r="E49" i="6"/>
  <c r="B49" i="6"/>
  <c r="E48" i="6"/>
  <c r="B48" i="6"/>
  <c r="E47" i="6"/>
  <c r="B47" i="6"/>
  <c r="E46" i="6"/>
  <c r="B46" i="6"/>
  <c r="E45" i="6"/>
  <c r="B45" i="6"/>
  <c r="E44" i="6"/>
  <c r="B44" i="6"/>
  <c r="E43" i="6"/>
  <c r="B43" i="6"/>
  <c r="E42" i="6"/>
  <c r="B42" i="6"/>
  <c r="E41" i="6"/>
  <c r="B41" i="6"/>
  <c r="E40" i="6"/>
  <c r="B40" i="6"/>
  <c r="E39" i="6"/>
  <c r="B39" i="6"/>
  <c r="E38" i="6"/>
  <c r="B38" i="6"/>
  <c r="E37" i="6"/>
  <c r="B37" i="6"/>
  <c r="E36" i="6"/>
  <c r="B36" i="6"/>
  <c r="E35" i="6"/>
  <c r="B35" i="6"/>
  <c r="E34" i="6"/>
  <c r="B34" i="6"/>
  <c r="E33" i="6"/>
  <c r="B33" i="6"/>
  <c r="E32" i="6"/>
  <c r="B32" i="6"/>
  <c r="E31" i="6"/>
  <c r="B31" i="6"/>
  <c r="E30" i="6"/>
  <c r="B30" i="6"/>
  <c r="E29" i="6"/>
  <c r="B29" i="6"/>
  <c r="E28" i="6"/>
  <c r="B28" i="6"/>
  <c r="E27" i="6"/>
  <c r="B27" i="6"/>
  <c r="E26" i="6"/>
  <c r="B26" i="6"/>
  <c r="E25" i="6"/>
  <c r="B25" i="6"/>
  <c r="E24" i="6"/>
  <c r="B24" i="6"/>
  <c r="E23" i="6"/>
  <c r="B23" i="6"/>
  <c r="E22" i="6"/>
  <c r="B22" i="6"/>
  <c r="E21" i="6"/>
  <c r="B21" i="6"/>
  <c r="E20" i="6"/>
  <c r="B20" i="6"/>
  <c r="E19" i="6"/>
  <c r="B19" i="6"/>
  <c r="E18" i="6"/>
  <c r="B18" i="6"/>
  <c r="E17" i="6"/>
  <c r="B17" i="6"/>
  <c r="E16" i="6"/>
  <c r="B16" i="6"/>
  <c r="E15" i="6"/>
  <c r="B15" i="6"/>
  <c r="E14" i="6"/>
  <c r="B14" i="6"/>
  <c r="E13" i="6"/>
  <c r="B13" i="6"/>
  <c r="E12" i="6"/>
  <c r="B12" i="6"/>
  <c r="E11" i="6"/>
  <c r="B11" i="6"/>
  <c r="E10" i="6"/>
  <c r="B10" i="6"/>
  <c r="E9" i="6"/>
  <c r="B9" i="6"/>
  <c r="E8" i="6"/>
  <c r="B8" i="6"/>
  <c r="E7" i="6"/>
  <c r="B7" i="6"/>
  <c r="E6" i="6"/>
  <c r="B6" i="6"/>
  <c r="E5" i="6"/>
  <c r="B5" i="6"/>
  <c r="E4" i="6"/>
  <c r="B4" i="6"/>
  <c r="E3" i="6"/>
  <c r="B3" i="6"/>
  <c r="E2" i="6"/>
  <c r="B2" i="6"/>
</calcChain>
</file>

<file path=xl/sharedStrings.xml><?xml version="1.0" encoding="utf-8"?>
<sst xmlns="http://schemas.openxmlformats.org/spreadsheetml/2006/main" count="3862" uniqueCount="728">
  <si>
    <t>shot_no</t>
  </si>
  <si>
    <t>file_no</t>
  </si>
  <si>
    <t>transect</t>
  </si>
  <si>
    <t>survey</t>
  </si>
  <si>
    <t>source_position_m</t>
  </si>
  <si>
    <t>receiver_first_m</t>
  </si>
  <si>
    <t>receiver_last_m</t>
  </si>
  <si>
    <t>receiver_spacing_m</t>
  </si>
  <si>
    <t>nominal_shot_spacing_m</t>
  </si>
  <si>
    <t>n_blows</t>
  </si>
  <si>
    <t>operator</t>
  </si>
  <si>
    <t>plate_type</t>
  </si>
  <si>
    <t>comment</t>
  </si>
  <si>
    <t>source_page</t>
  </si>
  <si>
    <t>confidence</t>
  </si>
  <si>
    <t>review_status</t>
  </si>
  <si>
    <t>geode_laptop_starttime</t>
  </si>
  <si>
    <t>geode_laptop_starttime_iso</t>
  </si>
  <si>
    <t>geode_folder_date</t>
  </si>
  <si>
    <t>geode_folder</t>
  </si>
  <si>
    <t>geode_file_path</t>
  </si>
  <si>
    <t>geode_read_ok</t>
  </si>
  <si>
    <t>geode_read_format</t>
  </si>
  <si>
    <t>geode_n_traces</t>
  </si>
  <si>
    <t>geode_sampling_rate_hz</t>
  </si>
  <si>
    <t>geode_duration_s_first_trace</t>
  </si>
  <si>
    <t>geode_time_source</t>
  </si>
  <si>
    <t>geode_match_status</t>
  </si>
  <si>
    <t>geode_match_note</t>
  </si>
  <si>
    <t>T1</t>
  </si>
  <si>
    <t>T1_2m_refraction</t>
  </si>
  <si>
    <t>Saheed</t>
  </si>
  <si>
    <t>metal</t>
  </si>
  <si>
    <t>"metal plate for all"</t>
  </si>
  <si>
    <t>LBSS18</t>
  </si>
  <si>
    <t>High</t>
  </si>
  <si>
    <t>OK</t>
  </si>
  <si>
    <t>2026-05-18T20:18:44</t>
  </si>
  <si>
    <t>LBSSP_051826</t>
  </si>
  <si>
    <t>/Volumes/tachyon/LBSSP_DATA/GEODE_DATA/LBSSP_051826/3047.dat</t>
  </si>
  <si>
    <t>SEG2</t>
  </si>
  <si>
    <t>obspy_trace_stats_starttime</t>
  </si>
  <si>
    <t>matched</t>
  </si>
  <si>
    <t>single file_no match</t>
  </si>
  <si>
    <t>Izzy</t>
  </si>
  <si>
    <t>2026-05-18T20:21:44</t>
  </si>
  <si>
    <t>/Volumes/tachyon/LBSSP_DATA/GEODE_DATA/LBSSP_051826/3048.dat</t>
  </si>
  <si>
    <t>Yuly</t>
  </si>
  <si>
    <t>2026-05-18T20:26:16</t>
  </si>
  <si>
    <t>/Volumes/tachyon/LBSSP_DATA/GEODE_DATA/LBSSP_051826/3049.dat</t>
  </si>
  <si>
    <t>Pati</t>
  </si>
  <si>
    <t>2026-05-18T20:30:19</t>
  </si>
  <si>
    <t>/Volumes/tachyon/LBSSP_DATA/GEODE_DATA/LBSSP_051826/3050.dat</t>
  </si>
  <si>
    <t>Brian</t>
  </si>
  <si>
    <t>2026-05-18T20:33:18</t>
  </si>
  <si>
    <t>/Volumes/tachyon/LBSSP_DATA/GEODE_DATA/LBSSP_051826/3051.dat</t>
  </si>
  <si>
    <t>Andy</t>
  </si>
  <si>
    <t>2026-05-18T20:36:39</t>
  </si>
  <si>
    <t>/Volumes/tachyon/LBSSP_DATA/GEODE_DATA/LBSSP_051826/3052.dat</t>
  </si>
  <si>
    <t>2026-05-18T20:39:41</t>
  </si>
  <si>
    <t>/Volumes/tachyon/LBSSP_DATA/GEODE_DATA/LBSSP_051826/3053.dat</t>
  </si>
  <si>
    <t>Glenn</t>
  </si>
  <si>
    <t>2026-05-18T20:42:37</t>
  </si>
  <si>
    <t>/Volumes/tachyon/LBSSP_DATA/GEODE_DATA/LBSSP_051826/3054.dat</t>
  </si>
  <si>
    <t>Pati/Saheed</t>
  </si>
  <si>
    <t>operator notation includes two names</t>
  </si>
  <si>
    <t>2026-05-18T20:46:57</t>
  </si>
  <si>
    <t>/Volumes/tachyon/LBSSP_DATA/GEODE_DATA/LBSSP_051826/3055.dat</t>
  </si>
  <si>
    <t>Mike</t>
  </si>
  <si>
    <t>2026-05-18T20:49:36</t>
  </si>
  <si>
    <t>/Volumes/tachyon/LBSSP_DATA/GEODE_DATA/LBSSP_051826/3056.dat</t>
  </si>
  <si>
    <t>2026-05-18T20:54:32</t>
  </si>
  <si>
    <t>/Volumes/tachyon/LBSSP_DATA/GEODE_DATA/LBSSP_051826/3057.dat</t>
  </si>
  <si>
    <t>2026-05-18T20:58:51</t>
  </si>
  <si>
    <t>/Volumes/tachyon/LBSSP_DATA/GEODE_DATA/LBSSP_051826/3058.dat</t>
  </si>
  <si>
    <t>11 blows</t>
  </si>
  <si>
    <t>2026-05-18T21:02:30</t>
  </si>
  <si>
    <t>/Volumes/tachyon/LBSSP_DATA/GEODE_DATA/LBSSP_051826/3059.dat</t>
  </si>
  <si>
    <t>2026-05-18T21:04:57</t>
  </si>
  <si>
    <t>/Volumes/tachyon/LBSSP_DATA/GEODE_DATA/LBSSP_051826/3060.dat</t>
  </si>
  <si>
    <t>2026-05-18T21:07:29</t>
  </si>
  <si>
    <t>/Volumes/tachyon/LBSSP_DATA/GEODE_DATA/LBSSP_051826/3061.dat</t>
  </si>
  <si>
    <t>2026-05-18T21:10:49</t>
  </si>
  <si>
    <t>/Volumes/tachyon/LBSSP_DATA/GEODE_DATA/LBSSP_051826/3062.dat</t>
  </si>
  <si>
    <t>2026-05-18T21:13:20</t>
  </si>
  <si>
    <t>/Volumes/tachyon/LBSSP_DATA/GEODE_DATA/LBSSP_051826/3063.dat</t>
  </si>
  <si>
    <t>2026-05-18T21:16:03</t>
  </si>
  <si>
    <t>/Volumes/tachyon/LBSSP_DATA/GEODE_DATA/LBSSP_051826/3064.dat</t>
  </si>
  <si>
    <t>2026-05-18T21:18:11</t>
  </si>
  <si>
    <t>/Volumes/tachyon/LBSSP_DATA/GEODE_DATA/LBSSP_051826/3065.dat</t>
  </si>
  <si>
    <t>2026-05-18T21:20:36</t>
  </si>
  <si>
    <t>/Volumes/tachyon/LBSSP_DATA/GEODE_DATA/LBSSP_051826/3066.dat</t>
  </si>
  <si>
    <t>Jochen</t>
  </si>
  <si>
    <t>2026-05-18T21:29:11</t>
  </si>
  <si>
    <t>/Volumes/tachyon/LBSSP_DATA/GEODE_DATA/LBSSP_051826/3067.dat</t>
  </si>
  <si>
    <t>2026-05-18T21:32:40</t>
  </si>
  <si>
    <t>/Volumes/tachyon/LBSSP_DATA/GEODE_DATA/LBSSP_051826/3068.dat</t>
  </si>
  <si>
    <t>2026-05-18T21:36:41</t>
  </si>
  <si>
    <t>/Volumes/tachyon/LBSSP_DATA/GEODE_DATA/LBSSP_051826/3069.dat</t>
  </si>
  <si>
    <t>2026-05-18T21:39:07</t>
  </si>
  <si>
    <t>/Volumes/tachyon/LBSSP_DATA/GEODE_DATA/LBSSP_051826/3070.dat</t>
  </si>
  <si>
    <t>12 blows</t>
  </si>
  <si>
    <t>2026-05-18T21:43:50</t>
  </si>
  <si>
    <t>/Volumes/tachyon/LBSSP_DATA/GEODE_DATA/LBSSP_051826/3071.dat</t>
  </si>
  <si>
    <t>Isabella</t>
  </si>
  <si>
    <t>2026-05-18T21:48:38</t>
  </si>
  <si>
    <t>/Volumes/tachyon/LBSSP_DATA/GEODE_DATA/LBSSP_051826/3072.dat</t>
  </si>
  <si>
    <t>2026-05-18T21:51:38</t>
  </si>
  <si>
    <t>/Volumes/tachyon/LBSSP_DATA/GEODE_DATA/LBSSP_051826/3073.dat</t>
  </si>
  <si>
    <t>2026-05-18T21:54:14</t>
  </si>
  <si>
    <t>/Volumes/tachyon/LBSSP_DATA/GEODE_DATA/LBSSP_051826/3074.dat</t>
  </si>
  <si>
    <t>2026-05-18T21:58:22</t>
  </si>
  <si>
    <t>/Volumes/tachyon/LBSSP_DATA/GEODE_DATA/LBSSP_051826/3075.dat</t>
  </si>
  <si>
    <t>2026-05-18T22:00:45</t>
  </si>
  <si>
    <t>/Volumes/tachyon/LBSSP_DATA/GEODE_DATA/LBSSP_051826/3076.dat</t>
  </si>
  <si>
    <t>LBSS19</t>
  </si>
  <si>
    <t>2026-05-18T22:04:12</t>
  </si>
  <si>
    <t>/Volumes/tachyon/LBSSP_DATA/GEODE_DATA/LBSSP_051826/3077.dat</t>
  </si>
  <si>
    <t>2026-05-18T22:06:39</t>
  </si>
  <si>
    <t>/Volumes/tachyon/LBSSP_DATA/GEODE_DATA/LBSSP_051826/3078.dat</t>
  </si>
  <si>
    <t>2026-05-18T22:10:45</t>
  </si>
  <si>
    <t>/Volumes/tachyon/LBSSP_DATA/GEODE_DATA/LBSSP_051826/3079.dat</t>
  </si>
  <si>
    <t>9 blows</t>
  </si>
  <si>
    <t>2026-05-18T22:25:58</t>
  </si>
  <si>
    <t>/Volumes/tachyon/LBSSP_DATA/GEODE_DATA/LBSSP_051826/3080.dat</t>
  </si>
  <si>
    <t>2026-05-18T22:30:24</t>
  </si>
  <si>
    <t>/Volumes/tachyon/LBSSP_DATA/GEODE_DATA/LBSSP_051826/3081.dat</t>
  </si>
  <si>
    <t>water ~180-188 m, Geop 182, 184, 186 m and shot ~1 m west of line</t>
  </si>
  <si>
    <t>2026-05-18T22:33:51</t>
  </si>
  <si>
    <t>/Volumes/tachyon/LBSSP_DATA/GEODE_DATA/LBSSP_051826/3082.dat</t>
  </si>
  <si>
    <t>2026-05-18T22:40:02</t>
  </si>
  <si>
    <t>/Volumes/tachyon/LBSSP_DATA/GEODE_DATA/LBSSP_051826/3083.dat</t>
  </si>
  <si>
    <t>2026-05-18T22:48:42</t>
  </si>
  <si>
    <t>/Volumes/tachyon/LBSSP_DATA/GEODE_DATA/LBSSP_051826/3084.dat</t>
  </si>
  <si>
    <t>2026-05-18T22:51:59</t>
  </si>
  <si>
    <t>/Volumes/tachyon/LBSSP_DATA/GEODE_DATA/LBSSP_051826/3085.dat</t>
  </si>
  <si>
    <t>2026-05-18T22:55:12</t>
  </si>
  <si>
    <t>/Volumes/tachyon/LBSSP_DATA/GEODE_DATA/LBSSP_051826/3086.dat</t>
  </si>
  <si>
    <t>2026-05-18T22:58:25</t>
  </si>
  <si>
    <t>/Volumes/tachyon/LBSSP_DATA/GEODE_DATA/LBSSP_051826/3087.dat</t>
  </si>
  <si>
    <t>Betsy</t>
  </si>
  <si>
    <t>Betsy / extra source test at 47 m; blow count not applicable</t>
  </si>
  <si>
    <t>Medium</t>
  </si>
  <si>
    <t>CHECK</t>
  </si>
  <si>
    <t>2026-05-18T23:12:53</t>
  </si>
  <si>
    <t>/Volumes/tachyon/LBSSP_DATA/GEODE_DATA/LBSSP_051826/3088.dat</t>
  </si>
  <si>
    <t>Workbook</t>
  </si>
  <si>
    <t>Jochen field notes metadata extraction</t>
  </si>
  <si>
    <t>Source PDF</t>
  </si>
  <si>
    <t>LBSSP_FieldNotes_Seismics_JB.pdf</t>
  </si>
  <si>
    <t>Created</t>
  </si>
  <si>
    <t>2026-05-28 19:55</t>
  </si>
  <si>
    <t>Purpose</t>
  </si>
  <si>
    <t>Machine-readable first-pass metadata tables transcribed from handwritten field notes. Use confidence/review_status columns before treating values as final.</t>
  </si>
  <si>
    <t>Caveat</t>
  </si>
  <si>
    <t>Handwritten notes are partly ambiguous. Rows with confidence &lt; High or review_status != OK should be checked against original scanned page images.</t>
  </si>
  <si>
    <t>Important convention</t>
  </si>
  <si>
    <t>Time convention</t>
  </si>
  <si>
    <t>Times in notes are local field time unless explicitly stated.</t>
  </si>
  <si>
    <t>final_transect</t>
  </si>
  <si>
    <t>alias_or_field_note_name</t>
  </si>
  <si>
    <t>description</t>
  </si>
  <si>
    <t>status</t>
  </si>
  <si>
    <t>central main transect</t>
  </si>
  <si>
    <t>Main cave-target transect</t>
  </si>
  <si>
    <t>confirmed by Glenn</t>
  </si>
  <si>
    <t>Western transect named T1A by Rocco</t>
  </si>
  <si>
    <t>use both names in metadata until filenames reconciled</t>
  </si>
  <si>
    <t>T3</t>
  </si>
  <si>
    <t>eastern transect</t>
  </si>
  <si>
    <t>Eastern transect with refraction and nodal deployment</t>
  </si>
  <si>
    <t>T4</t>
  </si>
  <si>
    <t>control line</t>
  </si>
  <si>
    <t>Control refraction line; no nodal deployment</t>
  </si>
  <si>
    <t>date</t>
  </si>
  <si>
    <t>day</t>
  </si>
  <si>
    <t>activity</t>
  </si>
  <si>
    <t>geometry_or_key_points</t>
  </si>
  <si>
    <t>source</t>
  </si>
  <si>
    <t>2026-05-16</t>
  </si>
  <si>
    <t>Day 1</t>
  </si>
  <si>
    <t>Line setup</t>
  </si>
  <si>
    <t>Alternating yellow/green flags every 4 m along 300 m line; 0 m at north end</t>
  </si>
  <si>
    <t>Glenn notes + Jochen sketch</t>
  </si>
  <si>
    <t>LBSS3-LBSS5</t>
  </si>
  <si>
    <t>MASW/streamer</t>
  </si>
  <si>
    <t>24-channel streamer, nominal 5 ft spacing; PEG on GeoView truck (30 feet from first geophone); rolling acquisition, shots from 87 to 210 m along line, 1.5 m spacing, 0.5 ms samp-int, 2 s window</t>
  </si>
  <si>
    <t>Jochen notes</t>
  </si>
  <si>
    <t>LBSS5-LBSS9</t>
  </si>
  <si>
    <t>PARTIAL -- updated jb</t>
  </si>
  <si>
    <t>SmartSolo Survey1</t>
  </si>
  <si>
    <t>36 nodes; central 4 m spacing, outer 8 m spacing; survey1 geometry</t>
  </si>
  <si>
    <t>Glenn notes + spreadsheet</t>
  </si>
  <si>
    <t>spreadsheet survey1</t>
  </si>
  <si>
    <t>2026-05-17</t>
  </si>
  <si>
    <t>Day 2</t>
  </si>
  <si>
    <t>Western transect, referred to as T2 in Glenn notes; PEG/streamer acquisition, shots from 106 to 230 m every 1.5 m except shots 170.5 m and 171.5 m, @230m PEG + hammer, 0.5 ms samp-int, 2 s window, measured 9.85 m strike-plate-to-first-geophone</t>
  </si>
  <si>
    <t>Glenn + Jochen notes</t>
  </si>
  <si>
    <t>LBSS10-LBSS14</t>
  </si>
  <si>
    <t>PARTIAL - updated jb</t>
  </si>
  <si>
    <t>SmartSolo Survey2</t>
  </si>
  <si>
    <t>Moved 5 north-end and 4 south-end nodes to densify 104-140 m at 2 m spacing</t>
  </si>
  <si>
    <t>spreadsheet survey2</t>
  </si>
  <si>
    <t>Dense hammer line</t>
  </si>
  <si>
    <t>Hammer shots every 1 m from 104-140 m; counts still to reconcile</t>
  </si>
  <si>
    <t>Glenn notes</t>
  </si>
  <si>
    <t>Treefall</t>
  </si>
  <si>
    <t>Tree fell at ~15:15 local; base 42.5 m, top ~32.5 m; angled ~12 m tree</t>
  </si>
  <si>
    <t>2026-05-18</t>
  </si>
  <si>
    <t>Day 3</t>
  </si>
  <si>
    <t>1 m refraction</t>
  </si>
  <si>
    <t>72 geophones, 87-158 m; shots 82.5-162.5 m every 2 m; repeated early shots at 82.5 for plate tests, usually 9 blows, 0.125 ms samp-int, 0.4 s window</t>
  </si>
  <si>
    <t>LBSS15-LBSS17</t>
  </si>
  <si>
    <t>OK - updated jb</t>
  </si>
  <si>
    <t>2 m refraction</t>
  </si>
  <si>
    <t>72 geophones, 52-194 m; shots 43-203 m every 4 m; 10 blows usually, 0.125 ms samp-int, 0.6 s window; repeat @47 m with Betsy Seisgun</t>
  </si>
  <si>
    <t>LBSS18-LBSS19</t>
  </si>
  <si>
    <t>2026-05-19</t>
  </si>
  <si>
    <t>Day 4</t>
  </si>
  <si>
    <t>Nodal Survey2 shots</t>
  </si>
  <si>
    <t>Nodes still in survey2 geometry; shots at candidate cave/sinkhole locations</t>
  </si>
  <si>
    <t>Return to Survey1 geometry</t>
  </si>
  <si>
    <t>Moved nine nodes back; 60-blow stacks at 10 m and 290 m</t>
  </si>
  <si>
    <t>Eastern line refraction/nodal</t>
  </si>
  <si>
    <t>T3 nodes at 0.5,2.5,...68.5; shots at -0.5,1.5,...; roving timing node near plate</t>
  </si>
  <si>
    <t>LBSS20</t>
  </si>
  <si>
    <t>72 geophones at 1 m spacing, (0-71 m), shots -0.5 to 75.5 every 2 m, 7-8 blows, 0.125 ms samp-int, 0.4 s window</t>
  </si>
  <si>
    <t>LBSS20-LBSS22</t>
  </si>
  <si>
    <t>entered by JB</t>
  </si>
  <si>
    <t>Control 1m refraction</t>
  </si>
  <si>
    <t>72-geophone line 1 m receiver (0-71 m); 2 m shot spacing (-2.5 to 53.5 + 71.5); incomplete due to thunderstorm, 0.125 ms samp-int, 0.4 s window</t>
  </si>
  <si>
    <t>Glenn notes + LBS23-24</t>
  </si>
  <si>
    <t>CHECK - updated jb</t>
  </si>
  <si>
    <t>T1_1m_refraction</t>
  </si>
  <si>
    <t>plastic</t>
  </si>
  <si>
    <t>plastic plate broke? early test</t>
  </si>
  <si>
    <t>LBSS16</t>
  </si>
  <si>
    <t>no_matching_dat_file</t>
  </si>
  <si>
    <t>No .dat file with this file_no was found under GEODE_DATA_ROOT</t>
  </si>
  <si>
    <t>test / decided to use metal plate</t>
  </si>
  <si>
    <t>plastic/metal?</t>
  </si>
  <si>
    <t>ambiguous early plate-test row</t>
  </si>
  <si>
    <t>Low</t>
  </si>
  <si>
    <t>delayed; first standard-looking shot</t>
  </si>
  <si>
    <t>2026-05-18T16:03:54</t>
  </si>
  <si>
    <t>/Volumes/tachyon/LBSSP_DATA/GEODE_DATA/LBSSP_051826/3005.dat</t>
  </si>
  <si>
    <t>2026-05-18T16:08:42</t>
  </si>
  <si>
    <t>/Volumes/tachyon/LBSSP_DATA/GEODE_DATA/LBSSP_051826/3006.dat</t>
  </si>
  <si>
    <t>2026-05-18T16:13:41</t>
  </si>
  <si>
    <t>/Volumes/tachyon/LBSSP_DATA/GEODE_DATA/LBSSP_051826/3007.dat</t>
  </si>
  <si>
    <t>2026-05-18T16:18:44</t>
  </si>
  <si>
    <t>/Volumes/tachyon/LBSSP_DATA/GEODE_DATA/LBSSP_051826/3008.dat</t>
  </si>
  <si>
    <t>2026-05-18T16:21:03</t>
  </si>
  <si>
    <t>/Volumes/tachyon/LBSSP_DATA/GEODE_DATA/LBSSP_051826/3009.dat</t>
  </si>
  <si>
    <t>2026-05-18T16:26:35</t>
  </si>
  <si>
    <t>/Volumes/tachyon/LBSSP_DATA/GEODE_DATA/LBSSP_051826/3010.dat</t>
  </si>
  <si>
    <t>2026-05-18T16:36:45</t>
  </si>
  <si>
    <t>/Volumes/tachyon/LBSSP_DATA/GEODE_DATA/LBSSP_051826/3011.dat</t>
  </si>
  <si>
    <t>2026-05-18T16:41:32</t>
  </si>
  <si>
    <t>/Volumes/tachyon/LBSSP_DATA/GEODE_DATA/LBSSP_051826/3012.dat</t>
  </si>
  <si>
    <t>2026-05-18T16:47:14</t>
  </si>
  <si>
    <t>/Volumes/tachyon/LBSSP_DATA/GEODE_DATA/LBSSP_051826/3013.dat</t>
  </si>
  <si>
    <t>2026-05-18T16:51:28</t>
  </si>
  <si>
    <t>/Volumes/tachyon/LBSSP_DATA/GEODE_DATA/LBSSP_051826/3014.dat</t>
  </si>
  <si>
    <t>"bad"</t>
  </si>
  <si>
    <t>2026-05-18T16:55:42</t>
  </si>
  <si>
    <t>/Volumes/tachyon/LBSSP_DATA/GEODE_DATA/LBSSP_051826/3015.dat</t>
  </si>
  <si>
    <t>repeat at 102.5 m</t>
  </si>
  <si>
    <t>2026-05-18T17:00:38</t>
  </si>
  <si>
    <t>/Volumes/tachyon/LBSSP_DATA/GEODE_DATA/LBSSP_051826/3016.dat</t>
  </si>
  <si>
    <t>2026-05-18T17:03:55</t>
  </si>
  <si>
    <t>/Volumes/tachyon/LBSSP_DATA/GEODE_DATA/LBSSP_051826/3017.dat</t>
  </si>
  <si>
    <t>2026-05-18T17:06:34</t>
  </si>
  <si>
    <t>/Volumes/tachyon/LBSSP_DATA/GEODE_DATA/LBSSP_051826/3018.dat</t>
  </si>
  <si>
    <t>2026-05-18T17:09:56</t>
  </si>
  <si>
    <t>/Volumes/tachyon/LBSSP_DATA/GEODE_DATA/LBSSP_051826/3019.dat</t>
  </si>
  <si>
    <t>2026-05-18T17:12:37</t>
  </si>
  <si>
    <t>/Volumes/tachyon/LBSSP_DATA/GEODE_DATA/LBSSP_051826/3020.dat</t>
  </si>
  <si>
    <t>2026-05-18T17:16:10</t>
  </si>
  <si>
    <t>/Volumes/tachyon/LBSSP_DATA/GEODE_DATA/LBSSP_051826/3021.dat</t>
  </si>
  <si>
    <t>2026-05-18T17:20:05</t>
  </si>
  <si>
    <t>/Volumes/tachyon/LBSSP_DATA/GEODE_DATA/LBSSP_051826/3022.dat</t>
  </si>
  <si>
    <t>2026-05-18T17:23:35</t>
  </si>
  <si>
    <t>/Volumes/tachyon/LBSSP_DATA/GEODE_DATA/LBSSP_051826/3023.dat</t>
  </si>
  <si>
    <t>2026-05-18T17:26:16</t>
  </si>
  <si>
    <t>/Volumes/tachyon/LBSSP_DATA/GEODE_DATA/LBSSP_051826/3024.dat</t>
  </si>
  <si>
    <t>2026-05-18T17:29:19</t>
  </si>
  <si>
    <t>/Volumes/tachyon/LBSSP_DATA/GEODE_DATA/LBSSP_051826/3025.dat</t>
  </si>
  <si>
    <t>near Jochen cave-center estimate 122 m</t>
  </si>
  <si>
    <t>2026-05-18T17:33:56</t>
  </si>
  <si>
    <t>/Volumes/tachyon/LBSSP_DATA/GEODE_DATA/LBSSP_051826/3026.dat</t>
  </si>
  <si>
    <t>2026-05-18T17:37:23</t>
  </si>
  <si>
    <t>/Volumes/tachyon/LBSSP_DATA/GEODE_DATA/LBSSP_051826/3027.dat</t>
  </si>
  <si>
    <t>LBSS17</t>
  </si>
  <si>
    <t>2026-05-18T17:42:25</t>
  </si>
  <si>
    <t>/Volumes/tachyon/LBSSP_DATA/GEODE_DATA/LBSSP_051826/3028.dat</t>
  </si>
  <si>
    <t>2026-05-18T17:45:18</t>
  </si>
  <si>
    <t>/Volumes/tachyon/LBSSP_DATA/GEODE_DATA/LBSSP_051826/3029.dat</t>
  </si>
  <si>
    <t>near Pati cave-center estimate 130 m</t>
  </si>
  <si>
    <t>2026-05-18T17:48:43</t>
  </si>
  <si>
    <t>/Volumes/tachyon/LBSSP_DATA/GEODE_DATA/LBSSP_051826/3030.dat</t>
  </si>
  <si>
    <t>2026-05-18T17:51:52</t>
  </si>
  <si>
    <t>/Volumes/tachyon/LBSSP_DATA/GEODE_DATA/LBSSP_051826/3031.dat</t>
  </si>
  <si>
    <t>2026-05-18T17:54:36</t>
  </si>
  <si>
    <t>/Volumes/tachyon/LBSSP_DATA/GEODE_DATA/LBSSP_051826/3032.dat</t>
  </si>
  <si>
    <t>2026-05-18T17:56:32</t>
  </si>
  <si>
    <t>/Volumes/tachyon/LBSSP_DATA/GEODE_DATA/LBSSP_051826/3033.dat</t>
  </si>
  <si>
    <t>Isabella/Saheed</t>
  </si>
  <si>
    <t>operator notation includes both names</t>
  </si>
  <si>
    <t>2026-05-18T18:02:31</t>
  </si>
  <si>
    <t>/Volumes/tachyon/LBSSP_DATA/GEODE_DATA/LBSSP_051826/3034.dat</t>
  </si>
  <si>
    <t>2026-05-18T18:05:21</t>
  </si>
  <si>
    <t>/Volumes/tachyon/LBSSP_DATA/GEODE_DATA/LBSSP_051826/3035.dat</t>
  </si>
  <si>
    <t>2026-05-18T18:12:06</t>
  </si>
  <si>
    <t>/Volumes/tachyon/LBSSP_DATA/GEODE_DATA/LBSSP_051826/3036.dat</t>
  </si>
  <si>
    <t>2026-05-18T18:14:47</t>
  </si>
  <si>
    <t>/Volumes/tachyon/LBSSP_DATA/GEODE_DATA/LBSSP_051826/3037.dat</t>
  </si>
  <si>
    <t>2026-05-18T18:17:10</t>
  </si>
  <si>
    <t>/Volumes/tachyon/LBSSP_DATA/GEODE_DATA/LBSSP_051826/3038.dat</t>
  </si>
  <si>
    <t>2026-05-18T18:20:05</t>
  </si>
  <si>
    <t>/Volumes/tachyon/LBSSP_DATA/GEODE_DATA/LBSSP_051826/3039.dat</t>
  </si>
  <si>
    <t>2026-05-18T18:21:59</t>
  </si>
  <si>
    <t>/Volumes/tachyon/LBSSP_DATA/GEODE_DATA/LBSSP_051826/3040.dat</t>
  </si>
  <si>
    <t>2026-05-18T18:24:30</t>
  </si>
  <si>
    <t>/Volumes/tachyon/LBSSP_DATA/GEODE_DATA/LBSSP_051826/3041.dat</t>
  </si>
  <si>
    <t>2026-05-18T18:26:20</t>
  </si>
  <si>
    <t>/Volumes/tachyon/LBSSP_DATA/GEODE_DATA/LBSSP_051826/3042.dat</t>
  </si>
  <si>
    <t>2026-05-18T18:28:21</t>
  </si>
  <si>
    <t>/Volumes/tachyon/LBSSP_DATA/GEODE_DATA/LBSSP_051826/3043.dat</t>
  </si>
  <si>
    <t>2026-05-18T18:30:58</t>
  </si>
  <si>
    <t>/Volumes/tachyon/LBSSP_DATA/GEODE_DATA/LBSSP_051826/3044.dat</t>
  </si>
  <si>
    <t>2026-05-18T18:34:59</t>
  </si>
  <si>
    <t>/Volumes/tachyon/LBSSP_DATA/GEODE_DATA/LBSSP_051826/3045.dat</t>
  </si>
  <si>
    <t>2026-05-18T18:38:33</t>
  </si>
  <si>
    <t>/Volumes/tachyon/LBSSP_DATA/GEODE_DATA/LBSSP_051826/3046.dat</t>
  </si>
  <si>
    <t>shot_location_m</t>
  </si>
  <si>
    <t>n_shots</t>
  </si>
  <si>
    <t>GeoviewStyle-ft</t>
  </si>
  <si>
    <t>source_type</t>
  </si>
  <si>
    <t>comments</t>
  </si>
  <si>
    <t>Streamer/MASW main transect</t>
  </si>
  <si>
    <t>PEG</t>
  </si>
  <si>
    <t>145 [ft] is location of shot relative to last geophone (at 0 ft); Geoview data collection example moves shot and last geophone in 5 ft increments; we approximate 5 ft = 1.5 m for  shots; added for consistency</t>
  </si>
  <si>
    <t>LBSS6</t>
  </si>
  <si>
    <t>T2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</si>
  <si>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</si>
  <si>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</si>
  <si>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</si>
  <si>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</si>
  <si>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</si>
  <si>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</si>
  <si>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</si>
  <si>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</si>
  <si>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</si>
  <si>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</si>
  <si>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LBSS7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</si>
  <si>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</si>
  <si>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</si>
  <si>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</si>
  <si>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</si>
  <si>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</si>
  <si>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</si>
  <si>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</si>
  <si>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</si>
  <si>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</si>
  <si>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</si>
  <si>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</si>
  <si>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</si>
  <si>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</si>
  <si>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</si>
  <si>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</si>
  <si>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</si>
  <si>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near cave per Sunfish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</si>
  <si>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</si>
  <si>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</si>
  <si>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</si>
  <si>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</si>
  <si>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</si>
  <si>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</si>
  <si>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</si>
  <si>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</si>
  <si>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</si>
  <si>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</si>
  <si>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</si>
  <si>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</si>
  <si>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</si>
  <si>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</si>
  <si>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LBSS8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</si>
  <si>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</si>
  <si>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</si>
  <si>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</si>
  <si>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</si>
  <si>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</si>
  <si>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</si>
  <si>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</si>
  <si>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</si>
  <si>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</si>
  <si>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</si>
  <si>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</si>
  <si>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</si>
  <si>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</si>
  <si>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</si>
  <si>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</si>
  <si>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</si>
  <si>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</si>
  <si>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2-plastic-plates due to tilt of rig</t>
  </si>
  <si>
    <t>T62</t>
  </si>
  <si>
    <t>2-plastic-plates due to tilt of rig, start wet area</t>
  </si>
  <si>
    <t>T63</t>
  </si>
  <si>
    <t>T64</t>
  </si>
  <si>
    <t>T65</t>
  </si>
  <si>
    <t>standing water deepest</t>
  </si>
  <si>
    <t>T66</t>
  </si>
  <si>
    <t>T67</t>
  </si>
  <si>
    <t>T68</t>
  </si>
  <si>
    <t>T69</t>
  </si>
  <si>
    <t>T70</t>
  </si>
  <si>
    <t>end wet area</t>
  </si>
  <si>
    <t>T71</t>
  </si>
  <si>
    <t>T72</t>
  </si>
  <si>
    <t>T73</t>
  </si>
  <si>
    <t>T74</t>
  </si>
  <si>
    <t>LBSS9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</si>
  <si>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</si>
  <si>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</si>
  <si>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</si>
  <si>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</si>
  <si>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</si>
  <si>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</si>
  <si>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</si>
  <si>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</si>
  <si>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</si>
  <si>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Streamer/MASW western transect</t>
  </si>
  <si>
    <t>145 [ft] is location of last geophone relative to shot; Geoview data collection example moves shot and last geophone in 5 ft increments; we approximate 5 ft = 1.5 m for  shots; added for consistency</t>
  </si>
  <si>
    <t>LBSS11</t>
  </si>
  <si>
    <t>2026-05-17T10:00:04</t>
  </si>
  <si>
    <t>LBS_051726</t>
  </si>
  <si>
    <t>/Volumes/tachyon/LBSSP_DATA/GEODE_DATA/LBS_051726/2001.dat</t>
  </si>
  <si>
    <t>2026-05-17T10:09:01</t>
  </si>
  <si>
    <t>/Volumes/tachyon/LBSSP_DATA/GEODE_DATA/LBS_051726/2002.dat</t>
  </si>
  <si>
    <t>2026-05-17T10:13:25</t>
  </si>
  <si>
    <t>/Volumes/tachyon/LBSSP_DATA/GEODE_DATA/LBS_051726/2003.dat</t>
  </si>
  <si>
    <t>2026-05-17T10:15:38</t>
  </si>
  <si>
    <t>/Volumes/tachyon/LBSSP_DATA/GEODE_DATA/LBS_051726/2004.dat</t>
  </si>
  <si>
    <t>2026-05-17T10:19:02</t>
  </si>
  <si>
    <t>/Volumes/tachyon/LBSSP_DATA/GEODE_DATA/LBS_051726/2005.dat</t>
  </si>
  <si>
    <t>2026-05-17T10:24:30</t>
  </si>
  <si>
    <t>/Volumes/tachyon/LBSSP_DATA/GEODE_DATA/LBS_051726/2006.dat</t>
  </si>
  <si>
    <t>2026-05-17T10:27:15</t>
  </si>
  <si>
    <t>/Volumes/tachyon/LBSSP_DATA/GEODE_DATA/LBS_051726/2007.dat</t>
  </si>
  <si>
    <t>2026-05-17T10:29:26</t>
  </si>
  <si>
    <t>/Volumes/tachyon/LBSSP_DATA/GEODE_DATA/LBS_051726/2008.dat</t>
  </si>
  <si>
    <t>2026-05-17T10:31:35</t>
  </si>
  <si>
    <t>/Volumes/tachyon/LBSSP_DATA/GEODE_DATA/LBS_051726/2009.dat</t>
  </si>
  <si>
    <t>2026-05-17T10:34:29</t>
  </si>
  <si>
    <t>/Volumes/tachyon/LBSSP_DATA/GEODE_DATA/LBS_051726/2010.dat</t>
  </si>
  <si>
    <t>2026-05-17T10:37:15</t>
  </si>
  <si>
    <t>/Volumes/tachyon/LBSSP_DATA/GEODE_DATA/LBS_051726/2011.dat</t>
  </si>
  <si>
    <t>2026-05-17T10:39:17</t>
  </si>
  <si>
    <t>/Volumes/tachyon/LBSSP_DATA/GEODE_DATA/LBS_051726/2012.dat</t>
  </si>
  <si>
    <t>2026-05-17T10:41:19</t>
  </si>
  <si>
    <t>/Volumes/tachyon/LBSSP_DATA/GEODE_DATA/LBS_051726/2013.dat</t>
  </si>
  <si>
    <t>2026-05-17T10:43:35</t>
  </si>
  <si>
    <t>/Volumes/tachyon/LBSSP_DATA/GEODE_DATA/LBS_051726/2014.dat</t>
  </si>
  <si>
    <t>2026-05-17T10:45:29</t>
  </si>
  <si>
    <t>/Volumes/tachyon/LBSSP_DATA/GEODE_DATA/LBS_051726/2015.dat</t>
  </si>
  <si>
    <t>2026-05-17T10:48:00</t>
  </si>
  <si>
    <t>/Volumes/tachyon/LBSSP_DATA/GEODE_DATA/LBS_051726/2016.dat</t>
  </si>
  <si>
    <t>2026-05-17T10:50:45</t>
  </si>
  <si>
    <t>/Volumes/tachyon/LBSSP_DATA/GEODE_DATA/LBS_051726/2017.dat</t>
  </si>
  <si>
    <t>2026-05-17T10:52:49</t>
  </si>
  <si>
    <t>/Volumes/tachyon/LBSSP_DATA/GEODE_DATA/LBS_051726/2018.dat</t>
  </si>
  <si>
    <t>2026-05-17T10:55:11</t>
  </si>
  <si>
    <t>/Volumes/tachyon/LBSSP_DATA/GEODE_DATA/LBS_051726/2019.dat</t>
  </si>
  <si>
    <t>2026-05-17T10:56:57</t>
  </si>
  <si>
    <t>/Volumes/tachyon/LBSSP_DATA/GEODE_DATA/LBS_051726/2020.dat</t>
  </si>
  <si>
    <t>2026-05-17T11:17:00</t>
  </si>
  <si>
    <t>/Volumes/tachyon/LBSSP_DATA/GEODE_DATA/LBS_051726/2021.dat</t>
  </si>
  <si>
    <t>2026-05-17T11:24:15</t>
  </si>
  <si>
    <t>/Volumes/tachyon/LBSSP_DATA/GEODE_DATA/LBS_051726/2022.dat</t>
  </si>
  <si>
    <t>2026-05-17T11:28:46</t>
  </si>
  <si>
    <t>/Volumes/tachyon/LBSSP_DATA/GEODE_DATA/LBS_051726/2023.dat</t>
  </si>
  <si>
    <t>2026-05-17T11:32:21</t>
  </si>
  <si>
    <t>/Volumes/tachyon/LBSSP_DATA/GEODE_DATA/LBS_051726/2024.dat</t>
  </si>
  <si>
    <t>2026-05-17T11:35:45</t>
  </si>
  <si>
    <t>/Volumes/tachyon/LBSSP_DATA/GEODE_DATA/LBS_051726/2025.dat</t>
  </si>
  <si>
    <t>2026-05-17T11:38:00</t>
  </si>
  <si>
    <t>/Volumes/tachyon/LBSSP_DATA/GEODE_DATA/LBS_051726/2026.dat</t>
  </si>
  <si>
    <t>2026-05-17T11:41:51</t>
  </si>
  <si>
    <t>/Volumes/tachyon/LBSSP_DATA/GEODE_DATA/LBS_051726/2027.dat</t>
  </si>
  <si>
    <t>2026-05-17T11:43:45</t>
  </si>
  <si>
    <t>/Volumes/tachyon/LBSSP_DATA/GEODE_DATA/LBS_051726/2028.dat</t>
  </si>
  <si>
    <t>2026-05-17T11:45:20</t>
  </si>
  <si>
    <t>/Volumes/tachyon/LBSSP_DATA/GEODE_DATA/LBS_051726/2029.dat</t>
  </si>
  <si>
    <t>2026-05-17T11:46:57</t>
  </si>
  <si>
    <t>/Volumes/tachyon/LBSSP_DATA/GEODE_DATA/LBS_051726/2030.dat</t>
  </si>
  <si>
    <t>LBSS12</t>
  </si>
  <si>
    <t>2026-05-17T11:49:33</t>
  </si>
  <si>
    <t>/Volumes/tachyon/LBSSP_DATA/GEODE_DATA/LBS_051726/2031.dat</t>
  </si>
  <si>
    <t>2026-05-17T11:51:28</t>
  </si>
  <si>
    <t>/Volumes/tachyon/LBSSP_DATA/GEODE_DATA/LBS_051726/2032.dat</t>
  </si>
  <si>
    <t>2026-05-17T11:54:10</t>
  </si>
  <si>
    <t>/Volumes/tachyon/LBSSP_DATA/GEODE_DATA/LBS_051726/2033.dat</t>
  </si>
  <si>
    <t>2026-05-17T11:56:44</t>
  </si>
  <si>
    <t>/Volumes/tachyon/LBSSP_DATA/GEODE_DATA/LBS_051726/2034.dat</t>
  </si>
  <si>
    <t>2026-05-17T11:58:43</t>
  </si>
  <si>
    <t>/Volumes/tachyon/LBSSP_DATA/GEODE_DATA/LBS_051726/2035.dat</t>
  </si>
  <si>
    <t>2026-05-17T12:00:45</t>
  </si>
  <si>
    <t>/Volumes/tachyon/LBSSP_DATA/GEODE_DATA/LBS_051726/2036.dat</t>
  </si>
  <si>
    <t>2026-05-17T12:03:35</t>
  </si>
  <si>
    <t>/Volumes/tachyon/LBSSP_DATA/GEODE_DATA/LBS_051726/2037.dat</t>
  </si>
  <si>
    <t>2026-05-17T12:05:43</t>
  </si>
  <si>
    <t>/Volumes/tachyon/LBSSP_DATA/GEODE_DATA/LBS_051726/2038.dat</t>
  </si>
  <si>
    <t>2026-05-17T12:07:28</t>
  </si>
  <si>
    <t>/Volumes/tachyon/LBSSP_DATA/GEODE_DATA/LBS_051726/2039.dat</t>
  </si>
  <si>
    <t>2026-05-17T12:10:54</t>
  </si>
  <si>
    <t>/Volumes/tachyon/LBSSP_DATA/GEODE_DATA/LBS_051726/2040.dat</t>
  </si>
  <si>
    <t>2026-05-17T12:14:25</t>
  </si>
  <si>
    <t>/Volumes/tachyon/LBSSP_DATA/GEODE_DATA/LBS_051726/2041.dat</t>
  </si>
  <si>
    <t>2026-05-17T12:18:11</t>
  </si>
  <si>
    <t>/Volumes/tachyon/LBSSP_DATA/GEODE_DATA/LBS_051726/2042.dat</t>
  </si>
  <si>
    <t>2026-05-17T12:20:58</t>
  </si>
  <si>
    <t>/Volumes/tachyon/LBSSP_DATA/GEODE_DATA/LBS_051726/2043.dat</t>
  </si>
  <si>
    <t>2026-05-17T12:24:43</t>
  </si>
  <si>
    <t>/Volumes/tachyon/LBSSP_DATA/GEODE_DATA/LBS_051726/2044.dat</t>
  </si>
  <si>
    <t>1 m spacing! All later shots again have 1.5 m spacing</t>
  </si>
  <si>
    <t>2026-05-17T12:28:30</t>
  </si>
  <si>
    <t>/Volumes/tachyon/LBSSP_DATA/GEODE_DATA/LBS_051726/2045.dat</t>
  </si>
  <si>
    <t>2026-05-17T12:30:41</t>
  </si>
  <si>
    <t>/Volumes/tachyon/LBSSP_DATA/GEODE_DATA/LBS_051726/2046.dat</t>
  </si>
  <si>
    <t>2026-05-17T12:37:26</t>
  </si>
  <si>
    <t>/Volumes/tachyon/LBSSP_DATA/GEODE_DATA/LBS_051726/2047.dat</t>
  </si>
  <si>
    <t>2026-05-17T12:40:52</t>
  </si>
  <si>
    <t>/Volumes/tachyon/LBSSP_DATA/GEODE_DATA/LBS_051726/2048.dat</t>
  </si>
  <si>
    <t>2026-05-17T12:44:45</t>
  </si>
  <si>
    <t>/Volumes/tachyon/LBSSP_DATA/GEODE_DATA/LBS_051726/2049.dat</t>
  </si>
  <si>
    <t>2026-05-17T12:47:57</t>
  </si>
  <si>
    <t>/Volumes/tachyon/LBSSP_DATA/GEODE_DATA/LBS_051726/2050.dat</t>
  </si>
  <si>
    <t>2026-05-17T12:50:08</t>
  </si>
  <si>
    <t>/Volumes/tachyon/LBSSP_DATA/GEODE_DATA/LBS_051726/2051.dat</t>
  </si>
  <si>
    <t>2026-05-17T12:54:04</t>
  </si>
  <si>
    <t>/Volumes/tachyon/LBSSP_DATA/GEODE_DATA/LBS_051726/2052.dat</t>
  </si>
  <si>
    <t>2026-05-17T12:56:46</t>
  </si>
  <si>
    <t>/Volumes/tachyon/LBSSP_DATA/GEODE_DATA/LBS_051726/2053.dat</t>
  </si>
  <si>
    <t>2026-05-17T13:23:03</t>
  </si>
  <si>
    <t>/Volumes/tachyon/LBSSP_DATA/GEODE_DATA/LBS_051726/2054.dat</t>
  </si>
  <si>
    <t>2026-05-17T13:25:18</t>
  </si>
  <si>
    <t>/Volumes/tachyon/LBSSP_DATA/GEODE_DATA/LBS_051726/2055.dat</t>
  </si>
  <si>
    <t>2026-05-17T13:31:32</t>
  </si>
  <si>
    <t>/Volumes/tachyon/LBSSP_DATA/GEODE_DATA/LBS_051726/2056.dat</t>
  </si>
  <si>
    <t>2026-05-17T13:33:32</t>
  </si>
  <si>
    <t>/Volumes/tachyon/LBSSP_DATA/GEODE_DATA/LBS_051726/2057.dat</t>
  </si>
  <si>
    <t>2026-05-17T13:36:15</t>
  </si>
  <si>
    <t>/Volumes/tachyon/LBSSP_DATA/GEODE_DATA/LBS_051726/2058.dat</t>
  </si>
  <si>
    <t>2026-05-17T13:38:15</t>
  </si>
  <si>
    <t>/Volumes/tachyon/LBSSP_DATA/GEODE_DATA/LBS_051726/2059.dat</t>
  </si>
  <si>
    <t>2026-05-17T13:40:09</t>
  </si>
  <si>
    <t>/Volumes/tachyon/LBSSP_DATA/GEODE_DATA/LBS_051726/2060.dat</t>
  </si>
  <si>
    <t>LBSS13</t>
  </si>
  <si>
    <t>2026-05-17T13:42:25</t>
  </si>
  <si>
    <t>/Volumes/tachyon/LBSSP_DATA/GEODE_DATA/LBS_051726/2061.dat</t>
  </si>
  <si>
    <t>LBSS14</t>
  </si>
  <si>
    <t>2026-05-17T13:47:03</t>
  </si>
  <si>
    <t>/Volumes/tachyon/LBSSP_DATA/GEODE_DATA/LBS_051726/2062.dat</t>
  </si>
  <si>
    <t>Wrong spacing - ignore!</t>
  </si>
  <si>
    <t>LBSS15</t>
  </si>
  <si>
    <t>2026-05-17T13:51:55</t>
  </si>
  <si>
    <t>/Volumes/tachyon/LBSSP_DATA/GEODE_DATA/LBS_051726/2063.dat</t>
  </si>
  <si>
    <t>Back to correct spacing</t>
  </si>
  <si>
    <t>2026-05-17T14:01:59</t>
  </si>
  <si>
    <t>/Volumes/tachyon/LBSSP_DATA/GEODE_DATA/LBS_051726/2064.dat</t>
  </si>
  <si>
    <t>2026-05-17T14:04:31</t>
  </si>
  <si>
    <t>/Volumes/tachyon/LBSSP_DATA/GEODE_DATA/LBS_051726/2065.dat</t>
  </si>
  <si>
    <t>2026-05-17T14:10:14</t>
  </si>
  <si>
    <t>/Volumes/tachyon/LBSSP_DATA/GEODE_DATA/LBS_051726/2066.dat</t>
  </si>
  <si>
    <t>2026-05-17T14:11:54</t>
  </si>
  <si>
    <t>/Volumes/tachyon/LBSSP_DATA/GEODE_DATA/LBS_051726/2067.dat</t>
  </si>
  <si>
    <t>2026-05-17T14:14:24</t>
  </si>
  <si>
    <t>/Volumes/tachyon/LBSSP_DATA/GEODE_DATA/LBS_051726/2068.dat</t>
  </si>
  <si>
    <t>LBSS21</t>
  </si>
  <si>
    <t>2026-05-17T14:16:03</t>
  </si>
  <si>
    <t>/Volumes/tachyon/LBSSP_DATA/GEODE_DATA/LBS_051726/2069.dat</t>
  </si>
  <si>
    <t>LBSS22</t>
  </si>
  <si>
    <t>2026-05-17T14:18:55</t>
  </si>
  <si>
    <t>/Volumes/tachyon/LBSSP_DATA/GEODE_DATA/LBS_051726/2070.dat</t>
  </si>
  <si>
    <t>LBSS23</t>
  </si>
  <si>
    <t>2026-05-17T14:23:34</t>
  </si>
  <si>
    <t>/Volumes/tachyon/LBSSP_DATA/GEODE_DATA/LBS_051726/2071.dat</t>
  </si>
  <si>
    <t>LBSS24</t>
  </si>
  <si>
    <t>2026-05-17T14:25:25</t>
  </si>
  <si>
    <t>/Volumes/tachyon/LBSSP_DATA/GEODE_DATA/LBS_051726/2072.dat</t>
  </si>
  <si>
    <t>LBSS25</t>
  </si>
  <si>
    <t>2026-05-17T14:27:23</t>
  </si>
  <si>
    <t>/Volumes/tachyon/LBSSP_DATA/GEODE_DATA/LBS_051726/2073.dat</t>
  </si>
  <si>
    <t>LBSS26</t>
  </si>
  <si>
    <t>2026-05-17T14:29:13</t>
  </si>
  <si>
    <t>/Volumes/tachyon/LBSSP_DATA/GEODE_DATA/LBS_051726/2074.dat</t>
  </si>
  <si>
    <t>LBSS27</t>
  </si>
  <si>
    <t>2026-05-17T14:31:42</t>
  </si>
  <si>
    <t>/Volumes/tachyon/LBSSP_DATA/GEODE_DATA/LBS_051726/2075.dat</t>
  </si>
  <si>
    <t>LBSS28</t>
  </si>
  <si>
    <t>2026-05-17T14:33:21</t>
  </si>
  <si>
    <t>/Volumes/tachyon/LBSSP_DATA/GEODE_DATA/LBS_051726/2076.dat</t>
  </si>
  <si>
    <t>LBSS29</t>
  </si>
  <si>
    <t>2026-05-17T14:34:48</t>
  </si>
  <si>
    <t>/Volumes/tachyon/LBSSP_DATA/GEODE_DATA/LBS_051726/2077.dat</t>
  </si>
  <si>
    <t>LBSS30</t>
  </si>
  <si>
    <t>2026-05-17T14:36:23</t>
  </si>
  <si>
    <t>/Volumes/tachyon/LBSSP_DATA/GEODE_DATA/LBS_051726/2078.dat</t>
  </si>
  <si>
    <t>LBSS31</t>
  </si>
  <si>
    <t>2026-05-17T14:37:48</t>
  </si>
  <si>
    <t>/Volumes/tachyon/LBSSP_DATA/GEODE_DATA/LBS_051726/2079.dat</t>
  </si>
  <si>
    <t>LBSS32</t>
  </si>
  <si>
    <t>2026-05-17T14:39:30</t>
  </si>
  <si>
    <t>/Volumes/tachyon/LBSSP_DATA/GEODE_DATA/LBS_051726/2080.dat</t>
  </si>
  <si>
    <t>LBSS33</t>
  </si>
  <si>
    <t>2026-05-17T14:41:40</t>
  </si>
  <si>
    <t>/Volumes/tachyon/LBSSP_DATA/GEODE_DATA/LBS_051726/2081.dat</t>
  </si>
  <si>
    <t>LBSS34</t>
  </si>
  <si>
    <t>2026-05-17T14:46:32</t>
  </si>
  <si>
    <t>/Volumes/tachyon/LBSSP_DATA/GEODE_DATA/LBS_051726/2082.dat</t>
  </si>
  <si>
    <t>LBSS35</t>
  </si>
  <si>
    <t>2026-05-17T14:48:49</t>
  </si>
  <si>
    <t>/Volumes/tachyon/LBSSP_DATA/GEODE_DATA/LBS_051726/2083.dat</t>
  </si>
  <si>
    <t>LBSS36</t>
  </si>
  <si>
    <t>2026-05-17T14:50:35</t>
  </si>
  <si>
    <t>/Volumes/tachyon/LBSSP_DATA/GEODE_DATA/LBS_051726/2084.dat</t>
  </si>
  <si>
    <t>LBSS37</t>
  </si>
  <si>
    <t>2026-05-17T14:53:57</t>
  </si>
  <si>
    <t>/Volumes/tachyon/LBSSP_DATA/GEODE_DATA/LBS_051726/2085.dat</t>
  </si>
  <si>
    <t>hammer jb</t>
  </si>
  <si>
    <t>PEG-hammer comparison; same number of hammer blows as PEG repeats</t>
  </si>
  <si>
    <t>2026-05-17T15:03:32</t>
  </si>
  <si>
    <t>/Volumes/tachyon/LBSSP_DATA/GEODE_DATA/LBS_051726/2086.dat</t>
  </si>
  <si>
    <t>hammer Mike</t>
  </si>
  <si>
    <t>2026-05-17T15:05:47</t>
  </si>
  <si>
    <t>/Volumes/tachyon/LBSSP_DATA/GEODE_DATA/LBS_051726/2087.dat</t>
  </si>
  <si>
    <t>T3_1m_refraction</t>
  </si>
  <si>
    <t>Mike_2</t>
  </si>
  <si>
    <t>Matt</t>
  </si>
  <si>
    <t>T4_1m_refraction</t>
  </si>
  <si>
    <t>geophone 31 NOT working for all shots! - G47 about 1 m west of line; G48 about 0.25 m E of line, hard rock</t>
  </si>
  <si>
    <t>next to barbecue</t>
  </si>
  <si>
    <t>4055 and 4056: saved twice, check files if one empty</t>
  </si>
  <si>
    <t>2026-05-19T21:40:23</t>
  </si>
  <si>
    <t>LBSSP_051926</t>
  </si>
  <si>
    <t>/Volumes/tachyon/LBSSP_DATA/GEODE_DATA/LBSSP_051926/4057.dat</t>
  </si>
  <si>
    <t>2026-05-19T21:42:23</t>
  </si>
  <si>
    <t>/Volumes/tachyon/LBSSP_DATA/GEODE_DATA/LBSSP_051926/4058.dat</t>
  </si>
  <si>
    <t>2026-05-19T21:44:24</t>
  </si>
  <si>
    <t>/Volumes/tachyon/LBSSP_DATA/GEODE_DATA/LBSSP_051926/4059.dat</t>
  </si>
  <si>
    <t>2026-05-19T21:46:36</t>
  </si>
  <si>
    <t>/Volumes/tachyon/LBSSP_DATA/GEODE_DATA/LBSSP_051926/4060.dat</t>
  </si>
  <si>
    <t>2026-05-19T21:48:40</t>
  </si>
  <si>
    <t>/Volumes/tachyon/LBSSP_DATA/GEODE_DATA/LBSSP_051926/4061.dat</t>
  </si>
  <si>
    <t>2026-05-19T21:51:09</t>
  </si>
  <si>
    <t>/Volumes/tachyon/LBSSP_DATA/GEODE_DATA/LBSSP_051926/4062.dat</t>
  </si>
  <si>
    <t>2026-05-19T21:53:20</t>
  </si>
  <si>
    <t>/Volumes/tachyon/LBSSP_DATA/GEODE_DATA/LBSSP_051926/4063.dat</t>
  </si>
  <si>
    <t>2026-05-19T21:58:04</t>
  </si>
  <si>
    <t>/Volumes/tachyon/LBSSP_DATA/GEODE_DATA/LBSSP_051926/4064.dat</t>
  </si>
  <si>
    <t>2026-05-19T22:01:07</t>
  </si>
  <si>
    <t>/Volumes/tachyon/LBSSP_DATA/GEODE_DATA/LBSSP_051926/4065.dat</t>
  </si>
  <si>
    <t>2026-05-19T22:02:38</t>
  </si>
  <si>
    <t>/Volumes/tachyon/LBSSP_DATA/GEODE_DATA/LBSSP_051926/4066.dat</t>
  </si>
  <si>
    <t>2026-05-19T22:04:04</t>
  </si>
  <si>
    <t>/Volumes/tachyon/LBSSP_DATA/GEODE_DATA/LBSSP_051926/4067.dat</t>
  </si>
  <si>
    <t>2026-05-19T22:05:37</t>
  </si>
  <si>
    <t>/Volumes/tachyon/LBSSP_DATA/GEODE_DATA/LBSSP_051926/4068.dat</t>
  </si>
  <si>
    <t>2026-05-19T22:07:19</t>
  </si>
  <si>
    <t>/Volumes/tachyon/LBSSP_DATA/GEODE_DATA/LBSSP_051926/4069.dat</t>
  </si>
  <si>
    <t>end shot; skipped in-between shots, thunder</t>
  </si>
  <si>
    <t>2026-05-19T22:09:41</t>
  </si>
  <si>
    <t>/Volumes/tachyon/LBSSP_DATA/GEODE_DATA/LBSSP_051926/4070.dat</t>
  </si>
  <si>
    <t>issue_id</t>
  </si>
  <si>
    <t>sheet</t>
  </si>
  <si>
    <t>row_or_scope</t>
  </si>
  <si>
    <t>recommended_action</t>
  </si>
  <si>
    <t>priority</t>
  </si>
  <si>
    <t>ISSUE_001</t>
  </si>
  <si>
    <t>T1_1m_Refraction</t>
  </si>
  <si>
    <t>shots 1-5</t>
  </si>
  <si>
    <t>Early repeated shots at 82.5 m include plastic/metal plate tests and uncertain comments.</t>
  </si>
  <si>
    <t>Check LBSS16 image before using for quantitative amplitude/source analysis. JB update: 1-4 were tests; 5 is actual start</t>
  </si>
  <si>
    <t>ISSUE_002</t>
  </si>
  <si>
    <t>shots 11-12</t>
  </si>
  <si>
    <t>Blow count and operator uncertain.</t>
  </si>
  <si>
    <t>Verify against original LBSS16 page; JB update: corrected</t>
  </si>
  <si>
    <t>ISSUE_003</t>
  </si>
  <si>
    <t>T1_2m_Refraction</t>
  </si>
  <si>
    <t>shot 1</t>
  </si>
  <si>
    <t>Operator field hard to decipher.</t>
  </si>
  <si>
    <t>Verify against LBSS18; JB update: verified</t>
  </si>
  <si>
    <t>ISSUE_004</t>
  </si>
  <si>
    <t>all</t>
  </si>
  <si>
    <t>Streamer source type and some line-end positions inferred from notes; pages are partly ambiguous.</t>
  </si>
  <si>
    <t>Review LBSS11-LBSS14 before generating final SEG-Y geometry; JB update: checked</t>
  </si>
  <si>
    <t>ISSUE_005</t>
  </si>
  <si>
    <t>Acquisition_Summary</t>
  </si>
  <si>
    <t>T4 control-line geometry still based on Glenn notes, not fully extracted from Jochen notes.</t>
  </si>
  <si>
    <t>Add T4 shot table when notes are available/legible; JB update: added to Acq-Summary</t>
  </si>
  <si>
    <t>ISSUE_006</t>
  </si>
  <si>
    <t>All</t>
  </si>
  <si>
    <t>time</t>
  </si>
  <si>
    <t>Field times are local; Geode laptop offset noted as 11.5 s ahead of GPS at start of T1 1m survey.</t>
  </si>
  <si>
    <t>Apply timing correction only after confirming which file timestamps are affected.</t>
  </si>
  <si>
    <t>item</t>
  </si>
  <si>
    <t>value</t>
  </si>
  <si>
    <t>source_metadata_xlsx</t>
  </si>
  <si>
    <t>/Volumes/tachyon/LBSSP_DATA/metadata/jochen_field_notes_metadata_tables.xlsx</t>
  </si>
  <si>
    <t>geode_data_root</t>
  </si>
  <si>
    <t>/Volumes/tachyon/LBSSP_DATA/GEODE_DATA</t>
  </si>
  <si>
    <t>csv_output</t>
  </si>
  <si>
    <t>geode_time_metadata_outputs/geode_file_times.csv</t>
  </si>
  <si>
    <t>created</t>
  </si>
  <si>
    <t>2026-06-15T15:43:32</t>
  </si>
  <si>
    <t>note</t>
  </si>
  <si>
    <t>Geode laptop times are not corrected to UTC.</t>
  </si>
  <si>
    <t>unmatched</t>
  </si>
  <si>
    <t>ambiguous</t>
  </si>
  <si>
    <t>updated</t>
  </si>
  <si>
    <t>T1_Streamer_MASW</t>
  </si>
  <si>
    <t>T3_1m_Refraction</t>
  </si>
  <si>
    <t>T4_1m_Refraction</t>
  </si>
  <si>
    <t>T1A in Rocco's notes</t>
  </si>
  <si>
    <t>T1 = central main transect; T2 = western transect; T3 = eastern transect; T4 = control line.</t>
  </si>
  <si>
    <t>T2_Streamer_MASW</t>
  </si>
  <si>
    <t>betsy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</si>
</sst>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.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 wrapText="1"/>
    </xf>
    <xf numFmtId="0" fontId="2" fillId="0" borderId="0" xfId="0" applyFont="1" applyAlignment="1">
      <alignment wrapText="1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ectCrosswalk" displayName="TransectCrosswalk" ref="A1:D5">
  <tableColumns count="4">
    <tableColumn id="1" xr3:uid="{00000000-0010-0000-0000-000001000000}" name="final_transect"/>
    <tableColumn id="2" xr3:uid="{00000000-0010-0000-0000-000002000000}" name="alias_or_field_note_name"/>
    <tableColumn id="3" xr3:uid="{00000000-0010-0000-0000-000003000000}" name="description"/>
    <tableColumn id="4" xr3:uid="{00000000-0010-0000-0000-000004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quisitionSummary" displayName="AcquisitionSummary" ref="A1:I15">
  <tableColumns count="9">
    <tableColumn id="1" xr3:uid="{00000000-0010-0000-0100-000001000000}" name="date"/>
    <tableColumn id="2" xr3:uid="{00000000-0010-0000-0100-000002000000}" name="day"/>
    <tableColumn id="3" xr3:uid="{00000000-0010-0000-0100-000003000000}" name="transect"/>
    <tableColumn id="4" xr3:uid="{00000000-0010-0000-0100-000004000000}" name="activity"/>
    <tableColumn id="5" xr3:uid="{00000000-0010-0000-0100-000005000000}" name="geometry_or_key_points"/>
    <tableColumn id="6" xr3:uid="{00000000-0010-0000-0100-000006000000}" name="source"/>
    <tableColumn id="7" xr3:uid="{00000000-0010-0000-0100-000007000000}" name="source_page"/>
    <tableColumn id="8" xr3:uid="{00000000-0010-0000-0100-000008000000}" name="confidence"/>
    <tableColumn id="9" xr3:uid="{00000000-0010-0000-0100-000009000000}" name="review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1_1m_Refraction" displayName="T1_1m_Refraction" ref="A1:P47">
  <tableColumns count="16">
    <tableColumn id="1" xr3:uid="{00000000-0010-0000-0200-000001000000}" name="shot_no"/>
    <tableColumn id="2" xr3:uid="{00000000-0010-0000-0200-000002000000}" name="file_no"/>
    <tableColumn id="3" xr3:uid="{00000000-0010-0000-0200-000003000000}" name="transect"/>
    <tableColumn id="4" xr3:uid="{00000000-0010-0000-0200-000004000000}" name="survey"/>
    <tableColumn id="5" xr3:uid="{00000000-0010-0000-0200-000005000000}" name="source_position_m"/>
    <tableColumn id="6" xr3:uid="{00000000-0010-0000-0200-000006000000}" name="receiver_first_m"/>
    <tableColumn id="7" xr3:uid="{00000000-0010-0000-0200-000007000000}" name="receiver_last_m"/>
    <tableColumn id="8" xr3:uid="{00000000-0010-0000-0200-000008000000}" name="receiver_spacing_m"/>
    <tableColumn id="9" xr3:uid="{00000000-0010-0000-0200-000009000000}" name="nominal_shot_spacing_m"/>
    <tableColumn id="10" xr3:uid="{00000000-0010-0000-0200-00000A000000}" name="n_blows"/>
    <tableColumn id="11" xr3:uid="{00000000-0010-0000-0200-00000B000000}" name="operator"/>
    <tableColumn id="12" xr3:uid="{00000000-0010-0000-0200-00000C000000}" name="plate_type"/>
    <tableColumn id="13" xr3:uid="{00000000-0010-0000-0200-00000D000000}" name="comment"/>
    <tableColumn id="14" xr3:uid="{00000000-0010-0000-0200-00000E000000}" name="source_page"/>
    <tableColumn id="15" xr3:uid="{00000000-0010-0000-0200-00000F000000}" name="confidence"/>
    <tableColumn id="16" xr3:uid="{00000000-0010-0000-0200-000010000000}" name="review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1_2m_Refraction" displayName="T1_2m_Refraction" ref="A1:P43">
  <tableColumns count="16">
    <tableColumn id="1" xr3:uid="{00000000-0010-0000-0300-000001000000}" name="shot_no"/>
    <tableColumn id="2" xr3:uid="{00000000-0010-0000-0300-000002000000}" name="file_no"/>
    <tableColumn id="3" xr3:uid="{00000000-0010-0000-0300-000003000000}" name="transect"/>
    <tableColumn id="4" xr3:uid="{00000000-0010-0000-0300-000004000000}" name="survey"/>
    <tableColumn id="5" xr3:uid="{00000000-0010-0000-0300-000005000000}" name="source_position_m"/>
    <tableColumn id="6" xr3:uid="{00000000-0010-0000-0300-000006000000}" name="receiver_first_m"/>
    <tableColumn id="7" xr3:uid="{00000000-0010-0000-0300-000007000000}" name="receiver_last_m"/>
    <tableColumn id="8" xr3:uid="{00000000-0010-0000-0300-000008000000}" name="receiver_spacing_m"/>
    <tableColumn id="9" xr3:uid="{00000000-0010-0000-0300-000009000000}" name="nominal_shot_spacing_m"/>
    <tableColumn id="10" xr3:uid="{00000000-0010-0000-0300-00000A000000}" name="n_blows"/>
    <tableColumn id="11" xr3:uid="{00000000-0010-0000-0300-00000B000000}" name="operator"/>
    <tableColumn id="12" xr3:uid="{00000000-0010-0000-0300-00000C000000}" name="plate_type"/>
    <tableColumn id="13" xr3:uid="{00000000-0010-0000-0300-00000D000000}" name="comment"/>
    <tableColumn id="14" xr3:uid="{00000000-0010-0000-0300-00000E000000}" name="source_page"/>
    <tableColumn id="15" xr3:uid="{00000000-0010-0000-0300-00000F000000}" name="confidence"/>
    <tableColumn id="16" xr3:uid="{00000000-0010-0000-0300-000010000000}" name="review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1A_Streamer_MASW7" displayName="T1A_Streamer_MASW7" ref="A1:L84">
  <tableColumns count="12">
    <tableColumn id="1" xr3:uid="{00000000-0010-0000-0400-000001000000}" name="shot_no"/>
    <tableColumn id="2" xr3:uid="{00000000-0010-0000-0400-000002000000}" name="file_no"/>
    <tableColumn id="3" xr3:uid="{00000000-0010-0000-0400-000003000000}" name="transect"/>
    <tableColumn id="4" xr3:uid="{00000000-0010-0000-0400-000004000000}" name="survey"/>
    <tableColumn id="5" xr3:uid="{00000000-0010-0000-0400-000005000000}" name="shot_location_m">
      <calculatedColumnFormula>87+1.5*(A2-1)</calculatedColumnFormula>
    </tableColumn>
    <tableColumn id="6" xr3:uid="{00000000-0010-0000-0400-000006000000}" name="n_shots"/>
    <tableColumn id="7" xr3:uid="{00000000-0010-0000-0400-000007000000}" name="GeoviewStyle-ft"/>
    <tableColumn id="8" xr3:uid="{00000000-0010-0000-0400-000008000000}" name="source_type"/>
    <tableColumn id="9" xr3:uid="{00000000-0010-0000-0400-000009000000}" name="comments"/>
    <tableColumn id="10" xr3:uid="{00000000-0010-0000-0400-00000A000000}" name="source_page"/>
    <tableColumn id="11" xr3:uid="{00000000-0010-0000-0400-00000B000000}" name="confidence"/>
    <tableColumn id="12" xr3:uid="{00000000-0010-0000-0400-00000C000000}" name="review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1A_Streamer_MASW" displayName="T1A_Streamer_MASW" ref="A1:L88">
  <tableColumns count="12">
    <tableColumn id="1" xr3:uid="{00000000-0010-0000-0500-000001000000}" name="shot_no"/>
    <tableColumn id="2" xr3:uid="{00000000-0010-0000-0500-000002000000}" name="file_no"/>
    <tableColumn id="3" xr3:uid="{00000000-0010-0000-0500-000003000000}" name="transect"/>
    <tableColumn id="4" xr3:uid="{00000000-0010-0000-0500-000004000000}" name="survey"/>
    <tableColumn id="5" xr3:uid="{00000000-0010-0000-0500-000005000000}" name="shot_location_m"/>
    <tableColumn id="6" xr3:uid="{00000000-0010-0000-0500-000006000000}" name="n_shots"/>
    <tableColumn id="7" xr3:uid="{00000000-0010-0000-0500-000007000000}" name="GeoviewStyle-ft"/>
    <tableColumn id="8" xr3:uid="{00000000-0010-0000-0500-000008000000}" name="source_type"/>
    <tableColumn id="9" xr3:uid="{00000000-0010-0000-0500-000009000000}" name="comments"/>
    <tableColumn id="10" xr3:uid="{00000000-0010-0000-0500-00000A000000}" name="source_page"/>
    <tableColumn id="11" xr3:uid="{00000000-0010-0000-0500-00000B000000}" name="confidence"/>
    <tableColumn id="12" xr3:uid="{00000000-0010-0000-0500-00000C000000}" name="review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1_1m_Refraction8" displayName="T1_1m_Refraction8" ref="A1:P40">
  <tableColumns count="16">
    <tableColumn id="1" xr3:uid="{00000000-0010-0000-0600-000001000000}" name="shot_no"/>
    <tableColumn id="2" xr3:uid="{00000000-0010-0000-0600-000002000000}" name="file_no">
      <calculatedColumnFormula>4001+A2-1</calculatedColumnFormula>
    </tableColumn>
    <tableColumn id="3" xr3:uid="{00000000-0010-0000-0600-000003000000}" name="transect"/>
    <tableColumn id="4" xr3:uid="{00000000-0010-0000-0600-000004000000}" name="survey"/>
    <tableColumn id="5" xr3:uid="{00000000-0010-0000-0600-000005000000}" name="source_position_m">
      <calculatedColumnFormula>-0.5+2*(A2-1)</calculatedColumnFormula>
    </tableColumn>
    <tableColumn id="6" xr3:uid="{00000000-0010-0000-0600-000006000000}" name="receiver_first_m"/>
    <tableColumn id="7" xr3:uid="{00000000-0010-0000-0600-000007000000}" name="receiver_last_m"/>
    <tableColumn id="8" xr3:uid="{00000000-0010-0000-0600-000008000000}" name="receiver_spacing_m"/>
    <tableColumn id="9" xr3:uid="{00000000-0010-0000-0600-000009000000}" name="nominal_shot_spacing_m"/>
    <tableColumn id="10" xr3:uid="{00000000-0010-0000-0600-00000A000000}" name="n_blows"/>
    <tableColumn id="11" xr3:uid="{00000000-0010-0000-0600-00000B000000}" name="operator"/>
    <tableColumn id="12" xr3:uid="{00000000-0010-0000-0600-00000C000000}" name="plate_type"/>
    <tableColumn id="13" xr3:uid="{00000000-0010-0000-0600-00000D000000}" name="comment"/>
    <tableColumn id="14" xr3:uid="{00000000-0010-0000-0600-00000E000000}" name="source_page"/>
    <tableColumn id="15" xr3:uid="{00000000-0010-0000-0600-00000F000000}" name="confidence"/>
    <tableColumn id="16" xr3:uid="{00000000-0010-0000-0600-000010000000}" name="review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1_1m_Refraction810" displayName="T1_1m_Refraction810" ref="A1:P31">
  <tableColumns count="16">
    <tableColumn id="1" xr3:uid="{00000000-0010-0000-0700-000001000000}" name="shot_no"/>
    <tableColumn id="2" xr3:uid="{00000000-0010-0000-0700-000002000000}" name="file_no" dataDxfId="0">
      <calculatedColumnFormula>4040+A2-1</calculatedColumnFormula>
    </tableColumn>
    <tableColumn id="3" xr3:uid="{00000000-0010-0000-0700-000003000000}" name="transect"/>
    <tableColumn id="4" xr3:uid="{00000000-0010-0000-0700-000004000000}" name="survey"/>
    <tableColumn id="5" xr3:uid="{00000000-0010-0000-0700-000005000000}" name="source_position_m">
      <calculatedColumnFormula>-0.5+2*(A2-1)</calculatedColumnFormula>
    </tableColumn>
    <tableColumn id="6" xr3:uid="{00000000-0010-0000-0700-000006000000}" name="receiver_first_m"/>
    <tableColumn id="7" xr3:uid="{00000000-0010-0000-0700-000007000000}" name="receiver_last_m"/>
    <tableColumn id="8" xr3:uid="{00000000-0010-0000-0700-000008000000}" name="receiver_spacing_m"/>
    <tableColumn id="9" xr3:uid="{00000000-0010-0000-0700-000009000000}" name="nominal_shot_spacing_m"/>
    <tableColumn id="10" xr3:uid="{00000000-0010-0000-0700-00000A000000}" name="n_blows"/>
    <tableColumn id="11" xr3:uid="{00000000-0010-0000-0700-00000B000000}" name="operator"/>
    <tableColumn id="12" xr3:uid="{00000000-0010-0000-0700-00000C000000}" name="plate_type"/>
    <tableColumn id="13" xr3:uid="{00000000-0010-0000-0700-00000D000000}" name="comment"/>
    <tableColumn id="14" xr3:uid="{00000000-0010-0000-0700-00000E000000}" name="source_page"/>
    <tableColumn id="15" xr3:uid="{00000000-0010-0000-0700-00000F000000}" name="confidence"/>
    <tableColumn id="16" xr3:uid="{00000000-0010-0000-0700-000010000000}" name="review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viewIssues" displayName="ReviewIssues" ref="A1:F7">
  <tableColumns count="6">
    <tableColumn id="1" xr3:uid="{00000000-0010-0000-0800-000001000000}" name="issue_id"/>
    <tableColumn id="2" xr3:uid="{00000000-0010-0000-0800-000002000000}" name="sheet"/>
    <tableColumn id="3" xr3:uid="{00000000-0010-0000-0800-000003000000}" name="row_or_scope"/>
    <tableColumn id="4" xr3:uid="{00000000-0010-0000-0800-000004000000}" name="description"/>
    <tableColumn id="5" xr3:uid="{00000000-0010-0000-0800-000005000000}" name="recommended_action"/>
    <tableColumn id="6" xr3:uid="{00000000-0010-0000-0800-000006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4" sqref="B14"/>
    </sheetView>
  </sheetViews>
  <sheetFormatPr baseColWidth="10" defaultColWidth="8.83203125" defaultRowHeight="14"/>
  <cols>
    <col min="1" max="1" width="22" customWidth="1"/>
    <col min="2" max="2" width="100" customWidth="1"/>
  </cols>
  <sheetData>
    <row r="1" spans="1:2" ht="16" customHeight="1">
      <c r="A1" s="1" t="s">
        <v>146</v>
      </c>
      <c r="B1" s="1" t="s">
        <v>147</v>
      </c>
    </row>
    <row r="2" spans="1:2" ht="15" customHeight="1">
      <c r="A2" s="2" t="s">
        <v>148</v>
      </c>
      <c r="B2" s="2" t="s">
        <v>149</v>
      </c>
    </row>
    <row r="3" spans="1:2" ht="15" customHeight="1">
      <c r="A3" s="2" t="s">
        <v>150</v>
      </c>
      <c r="B3" s="2" t="s">
        <v>151</v>
      </c>
    </row>
    <row r="4" spans="1:2" ht="30" customHeight="1">
      <c r="A4" s="2" t="s">
        <v>152</v>
      </c>
      <c r="B4" s="2" t="s">
        <v>153</v>
      </c>
    </row>
    <row r="5" spans="1:2" ht="30" customHeight="1">
      <c r="A5" s="2" t="s">
        <v>154</v>
      </c>
      <c r="B5" s="2" t="s">
        <v>155</v>
      </c>
    </row>
    <row r="6" spans="1:2" ht="15" customHeight="1">
      <c r="A6" s="2" t="s">
        <v>156</v>
      </c>
      <c r="B6" s="2" t="s">
        <v>725</v>
      </c>
    </row>
    <row r="7" spans="1:2" ht="15" customHeight="1">
      <c r="A7" s="2" t="s">
        <v>157</v>
      </c>
      <c r="B7" s="2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18" sqref="C18"/>
    </sheetView>
  </sheetViews>
  <sheetFormatPr baseColWidth="10" defaultColWidth="8.83203125" defaultRowHeight="14"/>
  <cols>
    <col min="1" max="1" width="16" customWidth="1"/>
    <col min="2" max="2" width="24" customWidth="1"/>
    <col min="3" max="3" width="55" customWidth="1"/>
    <col min="4" max="4" width="35" customWidth="1"/>
  </cols>
  <sheetData>
    <row r="1" spans="1:4" ht="16" customHeight="1">
      <c r="A1" s="1" t="s">
        <v>159</v>
      </c>
      <c r="B1" s="1" t="s">
        <v>160</v>
      </c>
      <c r="C1" s="1" t="s">
        <v>161</v>
      </c>
      <c r="D1" s="1" t="s">
        <v>162</v>
      </c>
    </row>
    <row r="2" spans="1:4" ht="15" customHeight="1">
      <c r="A2" s="2" t="s">
        <v>29</v>
      </c>
      <c r="B2" s="2" t="s">
        <v>163</v>
      </c>
      <c r="C2" s="2" t="s">
        <v>164</v>
      </c>
      <c r="D2" s="2" t="s">
        <v>165</v>
      </c>
    </row>
    <row r="3" spans="1:4" ht="30" customHeight="1">
      <c r="A3" s="2" t="s">
        <v>344</v>
      </c>
      <c r="B3" s="2" t="s">
        <v>724</v>
      </c>
      <c r="C3" s="2" t="s">
        <v>166</v>
      </c>
      <c r="D3" s="2" t="s">
        <v>167</v>
      </c>
    </row>
    <row r="4" spans="1:4" ht="15" customHeight="1">
      <c r="A4" s="2" t="s">
        <v>168</v>
      </c>
      <c r="B4" s="2" t="s">
        <v>169</v>
      </c>
      <c r="C4" s="2" t="s">
        <v>170</v>
      </c>
      <c r="D4" s="2" t="s">
        <v>165</v>
      </c>
    </row>
    <row r="5" spans="1:4" ht="15" customHeight="1">
      <c r="A5" s="2" t="s">
        <v>171</v>
      </c>
      <c r="B5" s="2" t="s">
        <v>172</v>
      </c>
      <c r="C5" s="2" t="s">
        <v>173</v>
      </c>
      <c r="D5" s="2" t="s">
        <v>165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E27" sqref="E27"/>
    </sheetView>
  </sheetViews>
  <sheetFormatPr baseColWidth="10" defaultColWidth="8.83203125" defaultRowHeight="14"/>
  <cols>
    <col min="1" max="1" width="12" customWidth="1"/>
    <col min="2" max="3" width="10" customWidth="1"/>
    <col min="4" max="4" width="24" customWidth="1"/>
    <col min="5" max="5" width="70" customWidth="1"/>
    <col min="6" max="6" width="25" customWidth="1"/>
    <col min="7" max="7" width="18" customWidth="1"/>
    <col min="8" max="8" width="12" customWidth="1"/>
    <col min="9" max="9" width="15" customWidth="1"/>
  </cols>
  <sheetData>
    <row r="1" spans="1:9" ht="16" customHeight="1">
      <c r="A1" s="1" t="s">
        <v>174</v>
      </c>
      <c r="B1" s="1" t="s">
        <v>175</v>
      </c>
      <c r="C1" s="1" t="s">
        <v>2</v>
      </c>
      <c r="D1" s="1" t="s">
        <v>176</v>
      </c>
      <c r="E1" s="1" t="s">
        <v>177</v>
      </c>
      <c r="F1" s="1" t="s">
        <v>178</v>
      </c>
      <c r="G1" s="1" t="s">
        <v>13</v>
      </c>
      <c r="H1" s="1" t="s">
        <v>14</v>
      </c>
      <c r="I1" s="1" t="s">
        <v>15</v>
      </c>
    </row>
    <row r="2" spans="1:9" ht="15" customHeight="1">
      <c r="A2" s="2" t="s">
        <v>179</v>
      </c>
      <c r="B2" s="2" t="s">
        <v>180</v>
      </c>
      <c r="C2" s="2" t="s">
        <v>29</v>
      </c>
      <c r="D2" s="2" t="s">
        <v>181</v>
      </c>
      <c r="E2" s="2" t="s">
        <v>182</v>
      </c>
      <c r="F2" s="2" t="s">
        <v>183</v>
      </c>
      <c r="G2" s="2" t="s">
        <v>184</v>
      </c>
      <c r="H2" s="2" t="s">
        <v>142</v>
      </c>
      <c r="I2" s="2" t="s">
        <v>143</v>
      </c>
    </row>
    <row r="3" spans="1:9" ht="45" customHeight="1">
      <c r="A3" s="2" t="s">
        <v>179</v>
      </c>
      <c r="B3" s="2" t="s">
        <v>180</v>
      </c>
      <c r="C3" s="2" t="s">
        <v>29</v>
      </c>
      <c r="D3" s="2" t="s">
        <v>185</v>
      </c>
      <c r="E3" s="2" t="s">
        <v>186</v>
      </c>
      <c r="F3" s="2" t="s">
        <v>187</v>
      </c>
      <c r="G3" s="2" t="s">
        <v>188</v>
      </c>
      <c r="H3" s="2" t="s">
        <v>142</v>
      </c>
      <c r="I3" s="2" t="s">
        <v>189</v>
      </c>
    </row>
    <row r="4" spans="1:9" ht="15" customHeight="1">
      <c r="A4" s="2" t="s">
        <v>179</v>
      </c>
      <c r="B4" s="2" t="s">
        <v>180</v>
      </c>
      <c r="C4" s="2" t="s">
        <v>29</v>
      </c>
      <c r="D4" s="2" t="s">
        <v>190</v>
      </c>
      <c r="E4" s="2" t="s">
        <v>191</v>
      </c>
      <c r="F4" s="2" t="s">
        <v>192</v>
      </c>
      <c r="G4" s="2" t="s">
        <v>193</v>
      </c>
      <c r="H4" s="2" t="s">
        <v>35</v>
      </c>
      <c r="I4" s="2" t="s">
        <v>36</v>
      </c>
    </row>
    <row r="5" spans="1:9" ht="45" customHeight="1">
      <c r="A5" s="2" t="s">
        <v>194</v>
      </c>
      <c r="B5" s="2" t="s">
        <v>195</v>
      </c>
      <c r="C5" s="2" t="s">
        <v>344</v>
      </c>
      <c r="D5" s="2" t="s">
        <v>185</v>
      </c>
      <c r="E5" s="2" t="s">
        <v>196</v>
      </c>
      <c r="F5" s="2" t="s">
        <v>197</v>
      </c>
      <c r="G5" s="2" t="s">
        <v>198</v>
      </c>
      <c r="H5" s="2" t="s">
        <v>142</v>
      </c>
      <c r="I5" s="2" t="s">
        <v>199</v>
      </c>
    </row>
    <row r="6" spans="1:9" ht="15" customHeight="1">
      <c r="A6" s="2" t="s">
        <v>194</v>
      </c>
      <c r="B6" s="2" t="s">
        <v>195</v>
      </c>
      <c r="C6" s="2" t="s">
        <v>29</v>
      </c>
      <c r="D6" s="2" t="s">
        <v>200</v>
      </c>
      <c r="E6" s="2" t="s">
        <v>201</v>
      </c>
      <c r="F6" s="2" t="s">
        <v>192</v>
      </c>
      <c r="G6" s="2" t="s">
        <v>202</v>
      </c>
      <c r="H6" s="2" t="s">
        <v>35</v>
      </c>
      <c r="I6" s="2" t="s">
        <v>36</v>
      </c>
    </row>
    <row r="7" spans="1:9" ht="15" customHeight="1">
      <c r="A7" s="2" t="s">
        <v>194</v>
      </c>
      <c r="B7" s="2" t="s">
        <v>195</v>
      </c>
      <c r="C7" s="2" t="s">
        <v>29</v>
      </c>
      <c r="D7" s="2" t="s">
        <v>203</v>
      </c>
      <c r="E7" s="2" t="s">
        <v>204</v>
      </c>
      <c r="F7" s="2" t="s">
        <v>205</v>
      </c>
      <c r="G7" s="2" t="s">
        <v>205</v>
      </c>
      <c r="H7" s="2" t="s">
        <v>142</v>
      </c>
      <c r="I7" s="2" t="s">
        <v>143</v>
      </c>
    </row>
    <row r="8" spans="1:9" ht="15" customHeight="1">
      <c r="A8" s="2" t="s">
        <v>194</v>
      </c>
      <c r="B8" s="2" t="s">
        <v>195</v>
      </c>
      <c r="C8" s="2" t="s">
        <v>29</v>
      </c>
      <c r="D8" s="2" t="s">
        <v>206</v>
      </c>
      <c r="E8" s="2" t="s">
        <v>207</v>
      </c>
      <c r="F8" s="2" t="s">
        <v>205</v>
      </c>
      <c r="G8" s="2" t="s">
        <v>205</v>
      </c>
      <c r="H8" s="2" t="s">
        <v>35</v>
      </c>
      <c r="I8" s="2" t="s">
        <v>36</v>
      </c>
    </row>
    <row r="9" spans="1:9" ht="30" customHeight="1">
      <c r="A9" s="2" t="s">
        <v>208</v>
      </c>
      <c r="B9" s="2" t="s">
        <v>209</v>
      </c>
      <c r="C9" s="2" t="s">
        <v>29</v>
      </c>
      <c r="D9" s="2" t="s">
        <v>210</v>
      </c>
      <c r="E9" s="2" t="s">
        <v>211</v>
      </c>
      <c r="F9" s="2" t="s">
        <v>187</v>
      </c>
      <c r="G9" s="2" t="s">
        <v>212</v>
      </c>
      <c r="H9" s="2" t="s">
        <v>35</v>
      </c>
      <c r="I9" s="2" t="s">
        <v>213</v>
      </c>
    </row>
    <row r="10" spans="1:9" ht="30" customHeight="1">
      <c r="A10" s="2" t="s">
        <v>208</v>
      </c>
      <c r="B10" s="2" t="s">
        <v>209</v>
      </c>
      <c r="C10" s="2" t="s">
        <v>29</v>
      </c>
      <c r="D10" s="2" t="s">
        <v>214</v>
      </c>
      <c r="E10" s="2" t="s">
        <v>215</v>
      </c>
      <c r="F10" s="2" t="s">
        <v>187</v>
      </c>
      <c r="G10" s="2" t="s">
        <v>216</v>
      </c>
      <c r="H10" s="2" t="s">
        <v>35</v>
      </c>
      <c r="I10" s="2" t="s">
        <v>213</v>
      </c>
    </row>
    <row r="11" spans="1:9" ht="15" customHeight="1">
      <c r="A11" s="2" t="s">
        <v>217</v>
      </c>
      <c r="B11" s="2" t="s">
        <v>218</v>
      </c>
      <c r="C11" s="2" t="s">
        <v>29</v>
      </c>
      <c r="D11" s="2" t="s">
        <v>219</v>
      </c>
      <c r="E11" s="2" t="s">
        <v>220</v>
      </c>
      <c r="F11" s="2" t="s">
        <v>205</v>
      </c>
      <c r="G11" s="2" t="s">
        <v>205</v>
      </c>
      <c r="H11" s="2" t="s">
        <v>142</v>
      </c>
      <c r="I11" s="2" t="s">
        <v>36</v>
      </c>
    </row>
    <row r="12" spans="1:9" ht="15" customHeight="1">
      <c r="A12" s="2" t="s">
        <v>217</v>
      </c>
      <c r="B12" s="2" t="s">
        <v>218</v>
      </c>
      <c r="C12" s="2" t="s">
        <v>29</v>
      </c>
      <c r="D12" s="2" t="s">
        <v>221</v>
      </c>
      <c r="E12" s="2" t="s">
        <v>222</v>
      </c>
      <c r="F12" s="2" t="s">
        <v>205</v>
      </c>
      <c r="G12" s="2" t="s">
        <v>205</v>
      </c>
      <c r="H12" s="2" t="s">
        <v>35</v>
      </c>
      <c r="I12" s="2" t="s">
        <v>36</v>
      </c>
    </row>
    <row r="13" spans="1:9" ht="15" customHeight="1">
      <c r="A13" s="2" t="s">
        <v>217</v>
      </c>
      <c r="B13" s="2" t="s">
        <v>218</v>
      </c>
      <c r="C13" s="2" t="s">
        <v>168</v>
      </c>
      <c r="D13" s="2" t="s">
        <v>223</v>
      </c>
      <c r="E13" s="2" t="s">
        <v>224</v>
      </c>
      <c r="F13" s="2" t="s">
        <v>197</v>
      </c>
      <c r="G13" s="2" t="s">
        <v>225</v>
      </c>
      <c r="H13" s="2" t="s">
        <v>35</v>
      </c>
      <c r="I13" s="2" t="s">
        <v>36</v>
      </c>
    </row>
    <row r="14" spans="1:9" ht="30" customHeight="1">
      <c r="A14" s="3">
        <v>46161</v>
      </c>
      <c r="B14" s="2" t="s">
        <v>218</v>
      </c>
      <c r="C14" s="2" t="s">
        <v>168</v>
      </c>
      <c r="D14" s="2" t="s">
        <v>210</v>
      </c>
      <c r="E14" s="2" t="s">
        <v>226</v>
      </c>
      <c r="F14" s="2" t="s">
        <v>187</v>
      </c>
      <c r="G14" s="2" t="s">
        <v>227</v>
      </c>
      <c r="H14" s="2" t="s">
        <v>35</v>
      </c>
      <c r="I14" s="2" t="s">
        <v>228</v>
      </c>
    </row>
    <row r="15" spans="1:9" ht="30" customHeight="1">
      <c r="A15" s="2" t="s">
        <v>217</v>
      </c>
      <c r="B15" s="2" t="s">
        <v>218</v>
      </c>
      <c r="C15" s="2" t="s">
        <v>171</v>
      </c>
      <c r="D15" s="2" t="s">
        <v>229</v>
      </c>
      <c r="E15" s="2" t="s">
        <v>230</v>
      </c>
      <c r="F15" s="2" t="s">
        <v>197</v>
      </c>
      <c r="G15" s="2" t="s">
        <v>231</v>
      </c>
      <c r="H15" s="2" t="s">
        <v>142</v>
      </c>
      <c r="I15" s="2" t="s">
        <v>232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workbookViewId="0">
      <selection activeCell="K28" sqref="K28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2">
        <v>1</v>
      </c>
      <c r="B2" s="2">
        <v>3001</v>
      </c>
      <c r="C2" s="2" t="s">
        <v>29</v>
      </c>
      <c r="D2" s="2" t="s">
        <v>233</v>
      </c>
      <c r="E2" s="2">
        <v>82.5</v>
      </c>
      <c r="F2" s="2">
        <v>87</v>
      </c>
      <c r="G2" s="2">
        <v>158</v>
      </c>
      <c r="H2" s="2">
        <v>1</v>
      </c>
      <c r="I2" s="2">
        <v>2</v>
      </c>
      <c r="J2" s="2">
        <v>3</v>
      </c>
      <c r="K2" s="2"/>
      <c r="L2" s="2" t="s">
        <v>234</v>
      </c>
      <c r="M2" s="2" t="s">
        <v>235</v>
      </c>
      <c r="N2" s="2" t="s">
        <v>236</v>
      </c>
      <c r="O2" s="2" t="s">
        <v>142</v>
      </c>
      <c r="P2" s="2" t="s">
        <v>143</v>
      </c>
      <c r="AB2" t="s">
        <v>237</v>
      </c>
      <c r="AC2" t="s">
        <v>238</v>
      </c>
    </row>
    <row r="3" spans="1:29" ht="15" customHeight="1">
      <c r="A3" s="2">
        <v>2</v>
      </c>
      <c r="B3" s="2">
        <v>3002</v>
      </c>
      <c r="C3" s="2" t="s">
        <v>29</v>
      </c>
      <c r="D3" s="2" t="s">
        <v>233</v>
      </c>
      <c r="E3" s="2">
        <v>82.5</v>
      </c>
      <c r="F3" s="2">
        <v>87</v>
      </c>
      <c r="G3" s="2">
        <v>158</v>
      </c>
      <c r="H3" s="2">
        <v>1</v>
      </c>
      <c r="I3" s="2">
        <v>2</v>
      </c>
      <c r="J3" s="2">
        <v>3</v>
      </c>
      <c r="K3" s="2"/>
      <c r="L3" s="2" t="s">
        <v>234</v>
      </c>
      <c r="M3" s="2" t="s">
        <v>235</v>
      </c>
      <c r="N3" s="2" t="s">
        <v>236</v>
      </c>
      <c r="O3" s="2" t="s">
        <v>142</v>
      </c>
      <c r="P3" s="2" t="s">
        <v>143</v>
      </c>
      <c r="AB3" t="s">
        <v>237</v>
      </c>
      <c r="AC3" t="s">
        <v>238</v>
      </c>
    </row>
    <row r="4" spans="1:29" ht="15" customHeight="1">
      <c r="A4" s="2">
        <v>3</v>
      </c>
      <c r="B4" s="2">
        <v>3003</v>
      </c>
      <c r="C4" s="2" t="s">
        <v>29</v>
      </c>
      <c r="D4" s="2" t="s">
        <v>233</v>
      </c>
      <c r="E4" s="2">
        <v>82.5</v>
      </c>
      <c r="F4" s="2">
        <v>87</v>
      </c>
      <c r="G4" s="2">
        <v>158</v>
      </c>
      <c r="H4" s="2">
        <v>1</v>
      </c>
      <c r="I4" s="2">
        <v>2</v>
      </c>
      <c r="J4" s="2">
        <v>3</v>
      </c>
      <c r="K4" s="2"/>
      <c r="L4" s="2" t="s">
        <v>32</v>
      </c>
      <c r="M4" s="2" t="s">
        <v>239</v>
      </c>
      <c r="N4" s="2" t="s">
        <v>236</v>
      </c>
      <c r="O4" s="2" t="s">
        <v>142</v>
      </c>
      <c r="P4" s="2" t="s">
        <v>143</v>
      </c>
      <c r="AB4" t="s">
        <v>237</v>
      </c>
      <c r="AC4" t="s">
        <v>238</v>
      </c>
    </row>
    <row r="5" spans="1:29" ht="15" customHeight="1">
      <c r="A5" s="2">
        <v>4</v>
      </c>
      <c r="B5" s="2">
        <v>3004</v>
      </c>
      <c r="C5" s="2" t="s">
        <v>29</v>
      </c>
      <c r="D5" s="2" t="s">
        <v>233</v>
      </c>
      <c r="E5" s="2">
        <v>82.5</v>
      </c>
      <c r="F5" s="2">
        <v>87</v>
      </c>
      <c r="G5" s="2">
        <v>158</v>
      </c>
      <c r="H5" s="2">
        <v>1</v>
      </c>
      <c r="I5" s="2">
        <v>2</v>
      </c>
      <c r="J5" s="2">
        <v>3</v>
      </c>
      <c r="K5" s="2"/>
      <c r="L5" s="2" t="s">
        <v>240</v>
      </c>
      <c r="M5" s="2" t="s">
        <v>241</v>
      </c>
      <c r="N5" s="2" t="s">
        <v>236</v>
      </c>
      <c r="O5" s="2" t="s">
        <v>242</v>
      </c>
      <c r="P5" s="2" t="s">
        <v>143</v>
      </c>
      <c r="AB5" t="s">
        <v>237</v>
      </c>
      <c r="AC5" t="s">
        <v>238</v>
      </c>
    </row>
    <row r="6" spans="1:29" ht="15" customHeight="1">
      <c r="A6" s="2">
        <v>5</v>
      </c>
      <c r="B6" s="2">
        <v>3005</v>
      </c>
      <c r="C6" s="2" t="s">
        <v>29</v>
      </c>
      <c r="D6" s="2" t="s">
        <v>233</v>
      </c>
      <c r="E6" s="2">
        <v>82.5</v>
      </c>
      <c r="F6" s="2">
        <v>87</v>
      </c>
      <c r="G6" s="2">
        <v>158</v>
      </c>
      <c r="H6" s="2">
        <v>1</v>
      </c>
      <c r="I6" s="2">
        <v>2</v>
      </c>
      <c r="J6" s="2">
        <v>9</v>
      </c>
      <c r="K6" s="2" t="s">
        <v>31</v>
      </c>
      <c r="L6" s="2" t="s">
        <v>32</v>
      </c>
      <c r="M6" s="2" t="s">
        <v>243</v>
      </c>
      <c r="N6" s="2" t="s">
        <v>236</v>
      </c>
      <c r="O6" s="2" t="s">
        <v>142</v>
      </c>
      <c r="P6" s="2" t="s">
        <v>143</v>
      </c>
      <c r="Q6" s="5">
        <v>46160.669374999998</v>
      </c>
      <c r="R6" t="s">
        <v>244</v>
      </c>
      <c r="S6" s="6">
        <v>46160</v>
      </c>
      <c r="T6" t="s">
        <v>38</v>
      </c>
      <c r="U6" t="s">
        <v>245</v>
      </c>
      <c r="V6" t="b">
        <v>1</v>
      </c>
      <c r="W6" t="s">
        <v>40</v>
      </c>
      <c r="X6">
        <v>72</v>
      </c>
      <c r="Y6">
        <v>8000</v>
      </c>
      <c r="Z6">
        <v>0.39987499999999998</v>
      </c>
      <c r="AA6" t="s">
        <v>41</v>
      </c>
      <c r="AB6" t="s">
        <v>42</v>
      </c>
      <c r="AC6" t="s">
        <v>43</v>
      </c>
    </row>
    <row r="7" spans="1:29" ht="15" customHeight="1">
      <c r="A7" s="2">
        <v>6</v>
      </c>
      <c r="B7" s="2">
        <v>3006</v>
      </c>
      <c r="C7" s="2" t="s">
        <v>29</v>
      </c>
      <c r="D7" s="2" t="s">
        <v>233</v>
      </c>
      <c r="E7" s="2">
        <v>84.5</v>
      </c>
      <c r="F7" s="2">
        <v>87</v>
      </c>
      <c r="G7" s="2">
        <v>158</v>
      </c>
      <c r="H7" s="2">
        <v>1</v>
      </c>
      <c r="I7" s="2">
        <v>2</v>
      </c>
      <c r="J7" s="2">
        <v>9</v>
      </c>
      <c r="K7" s="2" t="s">
        <v>68</v>
      </c>
      <c r="L7" s="2" t="s">
        <v>32</v>
      </c>
      <c r="M7" s="2"/>
      <c r="N7" s="2" t="s">
        <v>236</v>
      </c>
      <c r="O7" s="2" t="s">
        <v>35</v>
      </c>
      <c r="P7" s="2" t="s">
        <v>36</v>
      </c>
      <c r="Q7" s="5">
        <v>46160.672708333332</v>
      </c>
      <c r="R7" t="s">
        <v>246</v>
      </c>
      <c r="S7" s="6">
        <v>46160</v>
      </c>
      <c r="T7" t="s">
        <v>38</v>
      </c>
      <c r="U7" t="s">
        <v>247</v>
      </c>
      <c r="V7" t="b">
        <v>1</v>
      </c>
      <c r="W7" t="s">
        <v>40</v>
      </c>
      <c r="X7">
        <v>72</v>
      </c>
      <c r="Y7">
        <v>8000</v>
      </c>
      <c r="Z7">
        <v>0.39987499999999998</v>
      </c>
      <c r="AA7" t="s">
        <v>41</v>
      </c>
      <c r="AB7" t="s">
        <v>42</v>
      </c>
      <c r="AC7" t="s">
        <v>43</v>
      </c>
    </row>
    <row r="8" spans="1:29" ht="15" customHeight="1">
      <c r="A8" s="2">
        <v>7</v>
      </c>
      <c r="B8" s="2">
        <v>3007</v>
      </c>
      <c r="C8" s="2" t="s">
        <v>29</v>
      </c>
      <c r="D8" s="2" t="s">
        <v>233</v>
      </c>
      <c r="E8" s="2">
        <v>86.5</v>
      </c>
      <c r="F8" s="2">
        <v>87</v>
      </c>
      <c r="G8" s="2">
        <v>158</v>
      </c>
      <c r="H8" s="2">
        <v>1</v>
      </c>
      <c r="I8" s="2">
        <v>2</v>
      </c>
      <c r="J8" s="2">
        <v>9</v>
      </c>
      <c r="K8" s="2" t="s">
        <v>50</v>
      </c>
      <c r="L8" s="2" t="s">
        <v>32</v>
      </c>
      <c r="M8" s="2"/>
      <c r="N8" s="2" t="s">
        <v>236</v>
      </c>
      <c r="O8" s="2" t="s">
        <v>242</v>
      </c>
      <c r="P8" s="2" t="s">
        <v>143</v>
      </c>
      <c r="Q8" s="5">
        <v>46160.676168981481</v>
      </c>
      <c r="R8" t="s">
        <v>248</v>
      </c>
      <c r="S8" s="6">
        <v>46160</v>
      </c>
      <c r="T8" t="s">
        <v>38</v>
      </c>
      <c r="U8" t="s">
        <v>249</v>
      </c>
      <c r="V8" t="b">
        <v>1</v>
      </c>
      <c r="W8" t="s">
        <v>40</v>
      </c>
      <c r="X8">
        <v>72</v>
      </c>
      <c r="Y8">
        <v>8000</v>
      </c>
      <c r="Z8">
        <v>0.39987499999999998</v>
      </c>
      <c r="AA8" t="s">
        <v>41</v>
      </c>
      <c r="AB8" t="s">
        <v>42</v>
      </c>
      <c r="AC8" t="s">
        <v>43</v>
      </c>
    </row>
    <row r="9" spans="1:29" ht="15" customHeight="1">
      <c r="A9" s="2">
        <v>8</v>
      </c>
      <c r="B9" s="2">
        <v>3008</v>
      </c>
      <c r="C9" s="2" t="s">
        <v>29</v>
      </c>
      <c r="D9" s="2" t="s">
        <v>233</v>
      </c>
      <c r="E9" s="2">
        <v>88.5</v>
      </c>
      <c r="F9" s="2">
        <v>87</v>
      </c>
      <c r="G9" s="2">
        <v>158</v>
      </c>
      <c r="H9" s="2">
        <v>1</v>
      </c>
      <c r="I9" s="2">
        <v>2</v>
      </c>
      <c r="J9" s="2">
        <v>9</v>
      </c>
      <c r="K9" s="2" t="s">
        <v>56</v>
      </c>
      <c r="L9" s="2" t="s">
        <v>32</v>
      </c>
      <c r="M9" s="2"/>
      <c r="N9" s="2" t="s">
        <v>236</v>
      </c>
      <c r="O9" s="2" t="s">
        <v>35</v>
      </c>
      <c r="P9" s="2" t="s">
        <v>36</v>
      </c>
      <c r="Q9" s="5">
        <v>46160.679675925923</v>
      </c>
      <c r="R9" t="s">
        <v>250</v>
      </c>
      <c r="S9" s="6">
        <v>46160</v>
      </c>
      <c r="T9" t="s">
        <v>38</v>
      </c>
      <c r="U9" t="s">
        <v>251</v>
      </c>
      <c r="V9" t="b">
        <v>1</v>
      </c>
      <c r="W9" t="s">
        <v>40</v>
      </c>
      <c r="X9">
        <v>72</v>
      </c>
      <c r="Y9">
        <v>8000</v>
      </c>
      <c r="Z9">
        <v>0.39987499999999998</v>
      </c>
      <c r="AA9" t="s">
        <v>41</v>
      </c>
      <c r="AB9" t="s">
        <v>42</v>
      </c>
      <c r="AC9" t="s">
        <v>43</v>
      </c>
    </row>
    <row r="10" spans="1:29" ht="15" customHeight="1">
      <c r="A10" s="2">
        <v>9</v>
      </c>
      <c r="B10" s="2">
        <v>3009</v>
      </c>
      <c r="C10" s="2" t="s">
        <v>29</v>
      </c>
      <c r="D10" s="2" t="s">
        <v>233</v>
      </c>
      <c r="E10" s="2">
        <v>90.5</v>
      </c>
      <c r="F10" s="2">
        <v>87</v>
      </c>
      <c r="G10" s="2">
        <v>158</v>
      </c>
      <c r="H10" s="2">
        <v>1</v>
      </c>
      <c r="I10" s="2">
        <v>2</v>
      </c>
      <c r="J10" s="2">
        <v>9</v>
      </c>
      <c r="K10" s="2" t="s">
        <v>53</v>
      </c>
      <c r="L10" s="2" t="s">
        <v>32</v>
      </c>
      <c r="M10" s="2"/>
      <c r="N10" s="2" t="s">
        <v>236</v>
      </c>
      <c r="O10" s="2" t="s">
        <v>35</v>
      </c>
      <c r="P10" s="2" t="s">
        <v>36</v>
      </c>
      <c r="Q10" s="5">
        <v>46160.681284722217</v>
      </c>
      <c r="R10" t="s">
        <v>252</v>
      </c>
      <c r="S10" s="6">
        <v>46160</v>
      </c>
      <c r="T10" t="s">
        <v>38</v>
      </c>
      <c r="U10" t="s">
        <v>253</v>
      </c>
      <c r="V10" t="b">
        <v>1</v>
      </c>
      <c r="W10" t="s">
        <v>40</v>
      </c>
      <c r="X10">
        <v>72</v>
      </c>
      <c r="Y10">
        <v>8000</v>
      </c>
      <c r="Z10">
        <v>0.39987499999999998</v>
      </c>
      <c r="AA10" t="s">
        <v>41</v>
      </c>
      <c r="AB10" t="s">
        <v>42</v>
      </c>
      <c r="AC10" t="s">
        <v>43</v>
      </c>
    </row>
    <row r="11" spans="1:29" ht="15" customHeight="1">
      <c r="A11" s="2">
        <v>10</v>
      </c>
      <c r="B11" s="2">
        <v>3010</v>
      </c>
      <c r="C11" s="2" t="s">
        <v>29</v>
      </c>
      <c r="D11" s="2" t="s">
        <v>233</v>
      </c>
      <c r="E11" s="2">
        <v>92.5</v>
      </c>
      <c r="F11" s="2">
        <v>87</v>
      </c>
      <c r="G11" s="2">
        <v>158</v>
      </c>
      <c r="H11" s="2">
        <v>1</v>
      </c>
      <c r="I11" s="2">
        <v>2</v>
      </c>
      <c r="J11" s="2">
        <v>10</v>
      </c>
      <c r="K11" s="2" t="s">
        <v>61</v>
      </c>
      <c r="L11" s="2" t="s">
        <v>32</v>
      </c>
      <c r="M11" s="2"/>
      <c r="N11" s="2" t="s">
        <v>236</v>
      </c>
      <c r="O11" s="2" t="s">
        <v>35</v>
      </c>
      <c r="P11" s="2" t="s">
        <v>36</v>
      </c>
      <c r="Q11" s="5">
        <v>46160.685127314813</v>
      </c>
      <c r="R11" t="s">
        <v>254</v>
      </c>
      <c r="S11" s="6">
        <v>46160</v>
      </c>
      <c r="T11" t="s">
        <v>38</v>
      </c>
      <c r="U11" t="s">
        <v>255</v>
      </c>
      <c r="V11" t="b">
        <v>1</v>
      </c>
      <c r="W11" t="s">
        <v>40</v>
      </c>
      <c r="X11">
        <v>72</v>
      </c>
      <c r="Y11">
        <v>8000</v>
      </c>
      <c r="Z11">
        <v>0.39987499999999998</v>
      </c>
      <c r="AA11" t="s">
        <v>41</v>
      </c>
      <c r="AB11" t="s">
        <v>42</v>
      </c>
      <c r="AC11" t="s">
        <v>43</v>
      </c>
    </row>
    <row r="12" spans="1:29" ht="15" customHeight="1">
      <c r="A12" s="2">
        <v>11</v>
      </c>
      <c r="B12" s="2">
        <v>3011</v>
      </c>
      <c r="C12" s="2" t="s">
        <v>29</v>
      </c>
      <c r="D12" s="2" t="s">
        <v>233</v>
      </c>
      <c r="E12" s="2">
        <v>94.5</v>
      </c>
      <c r="F12" s="2">
        <v>87</v>
      </c>
      <c r="G12" s="2">
        <v>158</v>
      </c>
      <c r="H12" s="2">
        <v>1</v>
      </c>
      <c r="I12" s="2">
        <v>2</v>
      </c>
      <c r="J12" s="2">
        <v>9</v>
      </c>
      <c r="K12" s="2" t="s">
        <v>47</v>
      </c>
      <c r="L12" s="2" t="s">
        <v>32</v>
      </c>
      <c r="M12" s="2"/>
      <c r="N12" s="2" t="s">
        <v>236</v>
      </c>
      <c r="O12" s="2" t="s">
        <v>242</v>
      </c>
      <c r="P12" s="2" t="s">
        <v>143</v>
      </c>
      <c r="Q12" s="5">
        <v>46160.692187499997</v>
      </c>
      <c r="R12" t="s">
        <v>256</v>
      </c>
      <c r="S12" s="6">
        <v>46160</v>
      </c>
      <c r="T12" t="s">
        <v>38</v>
      </c>
      <c r="U12" t="s">
        <v>257</v>
      </c>
      <c r="V12" t="b">
        <v>1</v>
      </c>
      <c r="W12" t="s">
        <v>40</v>
      </c>
      <c r="X12">
        <v>72</v>
      </c>
      <c r="Y12">
        <v>8000</v>
      </c>
      <c r="Z12">
        <v>0.39987499999999998</v>
      </c>
      <c r="AA12" t="s">
        <v>41</v>
      </c>
      <c r="AB12" t="s">
        <v>42</v>
      </c>
      <c r="AC12" t="s">
        <v>43</v>
      </c>
    </row>
    <row r="13" spans="1:29" ht="15" customHeight="1">
      <c r="A13" s="2">
        <v>12</v>
      </c>
      <c r="B13" s="2">
        <v>3012</v>
      </c>
      <c r="C13" s="2" t="s">
        <v>29</v>
      </c>
      <c r="D13" s="2" t="s">
        <v>233</v>
      </c>
      <c r="E13" s="2">
        <v>96.5</v>
      </c>
      <c r="F13" s="2">
        <v>87</v>
      </c>
      <c r="G13" s="2">
        <v>158</v>
      </c>
      <c r="H13" s="2">
        <v>1</v>
      </c>
      <c r="I13" s="2">
        <v>2</v>
      </c>
      <c r="J13" s="2">
        <v>9</v>
      </c>
      <c r="K13" s="2" t="s">
        <v>104</v>
      </c>
      <c r="L13" s="2" t="s">
        <v>32</v>
      </c>
      <c r="M13" s="2"/>
      <c r="N13" s="2" t="s">
        <v>236</v>
      </c>
      <c r="O13" s="2" t="s">
        <v>242</v>
      </c>
      <c r="P13" s="2" t="s">
        <v>143</v>
      </c>
      <c r="Q13" s="5">
        <v>46160.695509259262</v>
      </c>
      <c r="R13" t="s">
        <v>258</v>
      </c>
      <c r="S13" s="6">
        <v>46160</v>
      </c>
      <c r="T13" t="s">
        <v>38</v>
      </c>
      <c r="U13" t="s">
        <v>259</v>
      </c>
      <c r="V13" t="b">
        <v>1</v>
      </c>
      <c r="W13" t="s">
        <v>40</v>
      </c>
      <c r="X13">
        <v>72</v>
      </c>
      <c r="Y13">
        <v>8000</v>
      </c>
      <c r="Z13">
        <v>0.39987499999999998</v>
      </c>
      <c r="AA13" t="s">
        <v>41</v>
      </c>
      <c r="AB13" t="s">
        <v>42</v>
      </c>
      <c r="AC13" t="s">
        <v>43</v>
      </c>
    </row>
    <row r="14" spans="1:29" ht="15" customHeight="1">
      <c r="A14" s="2">
        <v>13</v>
      </c>
      <c r="B14" s="2">
        <v>3013</v>
      </c>
      <c r="C14" s="2" t="s">
        <v>29</v>
      </c>
      <c r="D14" s="2" t="s">
        <v>233</v>
      </c>
      <c r="E14" s="2">
        <v>98.5</v>
      </c>
      <c r="F14" s="2">
        <v>87</v>
      </c>
      <c r="G14" s="2">
        <v>158</v>
      </c>
      <c r="H14" s="2">
        <v>1</v>
      </c>
      <c r="I14" s="2">
        <v>2</v>
      </c>
      <c r="J14" s="2">
        <v>9</v>
      </c>
      <c r="K14" s="2" t="s">
        <v>31</v>
      </c>
      <c r="L14" s="2" t="s">
        <v>32</v>
      </c>
      <c r="M14" s="2"/>
      <c r="N14" s="2" t="s">
        <v>236</v>
      </c>
      <c r="O14" s="2" t="s">
        <v>142</v>
      </c>
      <c r="P14" s="2" t="s">
        <v>36</v>
      </c>
      <c r="Q14" s="5">
        <v>46160.699467592603</v>
      </c>
      <c r="R14" t="s">
        <v>260</v>
      </c>
      <c r="S14" s="6">
        <v>46160</v>
      </c>
      <c r="T14" t="s">
        <v>38</v>
      </c>
      <c r="U14" t="s">
        <v>261</v>
      </c>
      <c r="V14" t="b">
        <v>1</v>
      </c>
      <c r="W14" t="s">
        <v>40</v>
      </c>
      <c r="X14">
        <v>72</v>
      </c>
      <c r="Y14">
        <v>8000</v>
      </c>
      <c r="Z14">
        <v>0.39987499999999998</v>
      </c>
      <c r="AA14" t="s">
        <v>41</v>
      </c>
      <c r="AB14" t="s">
        <v>42</v>
      </c>
      <c r="AC14" t="s">
        <v>43</v>
      </c>
    </row>
    <row r="15" spans="1:29" ht="15" customHeight="1">
      <c r="A15" s="2">
        <v>14</v>
      </c>
      <c r="B15" s="2">
        <v>3014</v>
      </c>
      <c r="C15" s="2" t="s">
        <v>29</v>
      </c>
      <c r="D15" s="2" t="s">
        <v>233</v>
      </c>
      <c r="E15" s="2">
        <v>100.5</v>
      </c>
      <c r="F15" s="2">
        <v>87</v>
      </c>
      <c r="G15" s="2">
        <v>158</v>
      </c>
      <c r="H15" s="2">
        <v>1</v>
      </c>
      <c r="I15" s="2">
        <v>2</v>
      </c>
      <c r="J15" s="2">
        <v>9</v>
      </c>
      <c r="K15" s="2" t="s">
        <v>68</v>
      </c>
      <c r="L15" s="2" t="s">
        <v>32</v>
      </c>
      <c r="M15" s="2"/>
      <c r="N15" s="2" t="s">
        <v>236</v>
      </c>
      <c r="O15" s="2" t="s">
        <v>35</v>
      </c>
      <c r="P15" s="2" t="s">
        <v>36</v>
      </c>
      <c r="Q15" s="5">
        <v>46160.702407407407</v>
      </c>
      <c r="R15" t="s">
        <v>262</v>
      </c>
      <c r="S15" s="6">
        <v>46160</v>
      </c>
      <c r="T15" t="s">
        <v>38</v>
      </c>
      <c r="U15" t="s">
        <v>263</v>
      </c>
      <c r="V15" t="b">
        <v>1</v>
      </c>
      <c r="W15" t="s">
        <v>40</v>
      </c>
      <c r="X15">
        <v>72</v>
      </c>
      <c r="Y15">
        <v>8000</v>
      </c>
      <c r="Z15">
        <v>0.39987499999999998</v>
      </c>
      <c r="AA15" t="s">
        <v>41</v>
      </c>
      <c r="AB15" t="s">
        <v>42</v>
      </c>
      <c r="AC15" t="s">
        <v>43</v>
      </c>
    </row>
    <row r="16" spans="1:29" ht="15" customHeight="1">
      <c r="A16" s="2">
        <v>15</v>
      </c>
      <c r="B16" s="2">
        <v>3015</v>
      </c>
      <c r="C16" s="2" t="s">
        <v>29</v>
      </c>
      <c r="D16" s="2" t="s">
        <v>233</v>
      </c>
      <c r="E16" s="2">
        <v>102.5</v>
      </c>
      <c r="F16" s="2">
        <v>87</v>
      </c>
      <c r="G16" s="2">
        <v>158</v>
      </c>
      <c r="H16" s="2">
        <v>1</v>
      </c>
      <c r="I16" s="2">
        <v>2</v>
      </c>
      <c r="J16" s="2">
        <v>9</v>
      </c>
      <c r="K16" s="2" t="s">
        <v>31</v>
      </c>
      <c r="L16" s="2" t="s">
        <v>32</v>
      </c>
      <c r="M16" s="2" t="s">
        <v>264</v>
      </c>
      <c r="N16" s="2" t="s">
        <v>236</v>
      </c>
      <c r="O16" s="2" t="s">
        <v>142</v>
      </c>
      <c r="P16" s="2" t="s">
        <v>143</v>
      </c>
      <c r="Q16" s="5">
        <v>46160.705347222232</v>
      </c>
      <c r="R16" t="s">
        <v>265</v>
      </c>
      <c r="S16" s="6">
        <v>46160</v>
      </c>
      <c r="T16" t="s">
        <v>38</v>
      </c>
      <c r="U16" t="s">
        <v>266</v>
      </c>
      <c r="V16" t="b">
        <v>1</v>
      </c>
      <c r="W16" t="s">
        <v>40</v>
      </c>
      <c r="X16">
        <v>72</v>
      </c>
      <c r="Y16">
        <v>8000</v>
      </c>
      <c r="Z16">
        <v>0.39987499999999998</v>
      </c>
      <c r="AA16" t="s">
        <v>41</v>
      </c>
      <c r="AB16" t="s">
        <v>42</v>
      </c>
      <c r="AC16" t="s">
        <v>43</v>
      </c>
    </row>
    <row r="17" spans="1:29" ht="15" customHeight="1">
      <c r="A17" s="2">
        <v>16</v>
      </c>
      <c r="B17" s="2">
        <v>3016</v>
      </c>
      <c r="C17" s="2" t="s">
        <v>29</v>
      </c>
      <c r="D17" s="2" t="s">
        <v>233</v>
      </c>
      <c r="E17" s="2">
        <v>102.5</v>
      </c>
      <c r="F17" s="2">
        <v>87</v>
      </c>
      <c r="G17" s="2">
        <v>158</v>
      </c>
      <c r="H17" s="2">
        <v>1</v>
      </c>
      <c r="I17" s="2">
        <v>2</v>
      </c>
      <c r="J17" s="2">
        <v>9</v>
      </c>
      <c r="K17" s="2" t="s">
        <v>68</v>
      </c>
      <c r="L17" s="2" t="s">
        <v>32</v>
      </c>
      <c r="M17" s="2" t="s">
        <v>267</v>
      </c>
      <c r="N17" s="2" t="s">
        <v>236</v>
      </c>
      <c r="O17" s="2" t="s">
        <v>35</v>
      </c>
      <c r="P17" s="2" t="s">
        <v>36</v>
      </c>
      <c r="Q17" s="5">
        <v>46160.708773148152</v>
      </c>
      <c r="R17" t="s">
        <v>268</v>
      </c>
      <c r="S17" s="6">
        <v>46160</v>
      </c>
      <c r="T17" t="s">
        <v>38</v>
      </c>
      <c r="U17" t="s">
        <v>269</v>
      </c>
      <c r="V17" t="b">
        <v>1</v>
      </c>
      <c r="W17" t="s">
        <v>40</v>
      </c>
      <c r="X17">
        <v>72</v>
      </c>
      <c r="Y17">
        <v>8000</v>
      </c>
      <c r="Z17">
        <v>0.39987499999999998</v>
      </c>
      <c r="AA17" t="s">
        <v>41</v>
      </c>
      <c r="AB17" t="s">
        <v>42</v>
      </c>
      <c r="AC17" t="s">
        <v>43</v>
      </c>
    </row>
    <row r="18" spans="1:29" ht="15" customHeight="1">
      <c r="A18" s="2">
        <v>17</v>
      </c>
      <c r="B18" s="2">
        <v>3017</v>
      </c>
      <c r="C18" s="2" t="s">
        <v>29</v>
      </c>
      <c r="D18" s="2" t="s">
        <v>233</v>
      </c>
      <c r="E18" s="2">
        <v>104.5</v>
      </c>
      <c r="F18" s="2">
        <v>87</v>
      </c>
      <c r="G18" s="2">
        <v>158</v>
      </c>
      <c r="H18" s="2">
        <v>1</v>
      </c>
      <c r="I18" s="2">
        <v>2</v>
      </c>
      <c r="J18" s="2">
        <v>9</v>
      </c>
      <c r="K18" s="2" t="s">
        <v>61</v>
      </c>
      <c r="L18" s="2" t="s">
        <v>32</v>
      </c>
      <c r="M18" s="2"/>
      <c r="N18" s="2" t="s">
        <v>236</v>
      </c>
      <c r="O18" s="2" t="s">
        <v>35</v>
      </c>
      <c r="P18" s="2" t="s">
        <v>36</v>
      </c>
      <c r="Q18" s="5">
        <v>46160.711053240739</v>
      </c>
      <c r="R18" t="s">
        <v>270</v>
      </c>
      <c r="S18" s="6">
        <v>46160</v>
      </c>
      <c r="T18" t="s">
        <v>38</v>
      </c>
      <c r="U18" t="s">
        <v>271</v>
      </c>
      <c r="V18" t="b">
        <v>1</v>
      </c>
      <c r="W18" t="s">
        <v>40</v>
      </c>
      <c r="X18">
        <v>72</v>
      </c>
      <c r="Y18">
        <v>8000</v>
      </c>
      <c r="Z18">
        <v>0.39987499999999998</v>
      </c>
      <c r="AA18" t="s">
        <v>41</v>
      </c>
      <c r="AB18" t="s">
        <v>42</v>
      </c>
      <c r="AC18" t="s">
        <v>43</v>
      </c>
    </row>
    <row r="19" spans="1:29" ht="15" customHeight="1">
      <c r="A19" s="2">
        <v>18</v>
      </c>
      <c r="B19" s="2">
        <v>3018</v>
      </c>
      <c r="C19" s="2" t="s">
        <v>29</v>
      </c>
      <c r="D19" s="2" t="s">
        <v>233</v>
      </c>
      <c r="E19" s="2">
        <v>106.5</v>
      </c>
      <c r="F19" s="2">
        <v>87</v>
      </c>
      <c r="G19" s="2">
        <v>158</v>
      </c>
      <c r="H19" s="2">
        <v>1</v>
      </c>
      <c r="I19" s="2">
        <v>2</v>
      </c>
      <c r="J19" s="2">
        <v>9</v>
      </c>
      <c r="K19" s="2" t="s">
        <v>68</v>
      </c>
      <c r="L19" s="2" t="s">
        <v>32</v>
      </c>
      <c r="M19" s="2"/>
      <c r="N19" s="2" t="s">
        <v>236</v>
      </c>
      <c r="O19" s="2" t="s">
        <v>35</v>
      </c>
      <c r="P19" s="2" t="s">
        <v>36</v>
      </c>
      <c r="Q19" s="5">
        <v>46160.712893518517</v>
      </c>
      <c r="R19" t="s">
        <v>272</v>
      </c>
      <c r="S19" s="6">
        <v>46160</v>
      </c>
      <c r="T19" t="s">
        <v>38</v>
      </c>
      <c r="U19" t="s">
        <v>273</v>
      </c>
      <c r="V19" t="b">
        <v>1</v>
      </c>
      <c r="W19" t="s">
        <v>40</v>
      </c>
      <c r="X19">
        <v>72</v>
      </c>
      <c r="Y19">
        <v>8000</v>
      </c>
      <c r="Z19">
        <v>0.39987499999999998</v>
      </c>
      <c r="AA19" t="s">
        <v>41</v>
      </c>
      <c r="AB19" t="s">
        <v>42</v>
      </c>
      <c r="AC19" t="s">
        <v>43</v>
      </c>
    </row>
    <row r="20" spans="1:29" ht="15" customHeight="1">
      <c r="A20" s="2">
        <v>19</v>
      </c>
      <c r="B20" s="2">
        <v>3019</v>
      </c>
      <c r="C20" s="2" t="s">
        <v>29</v>
      </c>
      <c r="D20" s="2" t="s">
        <v>233</v>
      </c>
      <c r="E20" s="2">
        <v>108.5</v>
      </c>
      <c r="F20" s="2">
        <v>87</v>
      </c>
      <c r="G20" s="2">
        <v>158</v>
      </c>
      <c r="H20" s="2">
        <v>1</v>
      </c>
      <c r="I20" s="2">
        <v>2</v>
      </c>
      <c r="J20" s="2">
        <v>9</v>
      </c>
      <c r="K20" s="2" t="s">
        <v>50</v>
      </c>
      <c r="L20" s="2" t="s">
        <v>32</v>
      </c>
      <c r="M20" s="2"/>
      <c r="N20" s="2" t="s">
        <v>236</v>
      </c>
      <c r="O20" s="2" t="s">
        <v>35</v>
      </c>
      <c r="P20" s="2" t="s">
        <v>36</v>
      </c>
      <c r="Q20" s="5">
        <v>46160.715231481481</v>
      </c>
      <c r="R20" t="s">
        <v>274</v>
      </c>
      <c r="S20" s="6">
        <v>46160</v>
      </c>
      <c r="T20" t="s">
        <v>38</v>
      </c>
      <c r="U20" t="s">
        <v>275</v>
      </c>
      <c r="V20" t="b">
        <v>1</v>
      </c>
      <c r="W20" t="s">
        <v>40</v>
      </c>
      <c r="X20">
        <v>72</v>
      </c>
      <c r="Y20">
        <v>8000</v>
      </c>
      <c r="Z20">
        <v>0.39987499999999998</v>
      </c>
      <c r="AA20" t="s">
        <v>41</v>
      </c>
      <c r="AB20" t="s">
        <v>42</v>
      </c>
      <c r="AC20" t="s">
        <v>43</v>
      </c>
    </row>
    <row r="21" spans="1:29" ht="15" customHeight="1">
      <c r="A21" s="2">
        <v>20</v>
      </c>
      <c r="B21" s="2">
        <v>3020</v>
      </c>
      <c r="C21" s="2" t="s">
        <v>29</v>
      </c>
      <c r="D21" s="2" t="s">
        <v>233</v>
      </c>
      <c r="E21" s="2">
        <v>110.5</v>
      </c>
      <c r="F21" s="2">
        <v>87</v>
      </c>
      <c r="G21" s="2">
        <v>158</v>
      </c>
      <c r="H21" s="2">
        <v>1</v>
      </c>
      <c r="I21" s="2">
        <v>2</v>
      </c>
      <c r="J21" s="2">
        <v>9</v>
      </c>
      <c r="K21" s="2" t="s">
        <v>56</v>
      </c>
      <c r="L21" s="2" t="s">
        <v>32</v>
      </c>
      <c r="M21" s="2"/>
      <c r="N21" s="2" t="s">
        <v>236</v>
      </c>
      <c r="O21" s="2" t="s">
        <v>35</v>
      </c>
      <c r="P21" s="2" t="s">
        <v>36</v>
      </c>
      <c r="Q21" s="5">
        <v>46160.717094907413</v>
      </c>
      <c r="R21" t="s">
        <v>276</v>
      </c>
      <c r="S21" s="6">
        <v>46160</v>
      </c>
      <c r="T21" t="s">
        <v>38</v>
      </c>
      <c r="U21" t="s">
        <v>277</v>
      </c>
      <c r="V21" t="b">
        <v>1</v>
      </c>
      <c r="W21" t="s">
        <v>40</v>
      </c>
      <c r="X21">
        <v>72</v>
      </c>
      <c r="Y21">
        <v>8000</v>
      </c>
      <c r="Z21">
        <v>0.39987499999999998</v>
      </c>
      <c r="AA21" t="s">
        <v>41</v>
      </c>
      <c r="AB21" t="s">
        <v>42</v>
      </c>
      <c r="AC21" t="s">
        <v>43</v>
      </c>
    </row>
    <row r="22" spans="1:29" ht="15" customHeight="1">
      <c r="A22" s="2">
        <v>21</v>
      </c>
      <c r="B22" s="2">
        <v>3021</v>
      </c>
      <c r="C22" s="2" t="s">
        <v>29</v>
      </c>
      <c r="D22" s="2" t="s">
        <v>233</v>
      </c>
      <c r="E22" s="2">
        <v>112.5</v>
      </c>
      <c r="F22" s="2">
        <v>87</v>
      </c>
      <c r="G22" s="2">
        <v>158</v>
      </c>
      <c r="H22" s="2">
        <v>1</v>
      </c>
      <c r="I22" s="2">
        <v>2</v>
      </c>
      <c r="J22" s="2">
        <v>9</v>
      </c>
      <c r="K22" s="2" t="s">
        <v>53</v>
      </c>
      <c r="L22" s="2" t="s">
        <v>32</v>
      </c>
      <c r="M22" s="2"/>
      <c r="N22" s="2" t="s">
        <v>236</v>
      </c>
      <c r="O22" s="2" t="s">
        <v>35</v>
      </c>
      <c r="P22" s="2" t="s">
        <v>36</v>
      </c>
      <c r="Q22" s="5">
        <v>46160.719560185193</v>
      </c>
      <c r="R22" t="s">
        <v>278</v>
      </c>
      <c r="S22" s="6">
        <v>46160</v>
      </c>
      <c r="T22" t="s">
        <v>38</v>
      </c>
      <c r="U22" t="s">
        <v>279</v>
      </c>
      <c r="V22" t="b">
        <v>1</v>
      </c>
      <c r="W22" t="s">
        <v>40</v>
      </c>
      <c r="X22">
        <v>72</v>
      </c>
      <c r="Y22">
        <v>8000</v>
      </c>
      <c r="Z22">
        <v>0.39987499999999998</v>
      </c>
      <c r="AA22" t="s">
        <v>41</v>
      </c>
      <c r="AB22" t="s">
        <v>42</v>
      </c>
      <c r="AC22" t="s">
        <v>43</v>
      </c>
    </row>
    <row r="23" spans="1:29" ht="15" customHeight="1">
      <c r="A23" s="2">
        <v>22</v>
      </c>
      <c r="B23" s="2">
        <v>3022</v>
      </c>
      <c r="C23" s="2" t="s">
        <v>29</v>
      </c>
      <c r="D23" s="2" t="s">
        <v>233</v>
      </c>
      <c r="E23" s="2">
        <v>114.5</v>
      </c>
      <c r="F23" s="2">
        <v>87</v>
      </c>
      <c r="G23" s="2">
        <v>158</v>
      </c>
      <c r="H23" s="2">
        <v>1</v>
      </c>
      <c r="I23" s="2">
        <v>2</v>
      </c>
      <c r="J23" s="2">
        <v>9</v>
      </c>
      <c r="K23" s="2" t="s">
        <v>47</v>
      </c>
      <c r="L23" s="2" t="s">
        <v>32</v>
      </c>
      <c r="M23" s="2"/>
      <c r="N23" s="2" t="s">
        <v>236</v>
      </c>
      <c r="O23" s="2" t="s">
        <v>35</v>
      </c>
      <c r="P23" s="2" t="s">
        <v>36</v>
      </c>
      <c r="Q23" s="5">
        <v>46160.722280092603</v>
      </c>
      <c r="R23" t="s">
        <v>280</v>
      </c>
      <c r="S23" s="6">
        <v>46160</v>
      </c>
      <c r="T23" t="s">
        <v>38</v>
      </c>
      <c r="U23" t="s">
        <v>281</v>
      </c>
      <c r="V23" t="b">
        <v>1</v>
      </c>
      <c r="W23" t="s">
        <v>40</v>
      </c>
      <c r="X23">
        <v>72</v>
      </c>
      <c r="Y23">
        <v>8000</v>
      </c>
      <c r="Z23">
        <v>0.39987499999999998</v>
      </c>
      <c r="AA23" t="s">
        <v>41</v>
      </c>
      <c r="AB23" t="s">
        <v>42</v>
      </c>
      <c r="AC23" t="s">
        <v>43</v>
      </c>
    </row>
    <row r="24" spans="1:29" ht="15" customHeight="1">
      <c r="A24" s="2">
        <v>23</v>
      </c>
      <c r="B24" s="2">
        <v>3023</v>
      </c>
      <c r="C24" s="2" t="s">
        <v>29</v>
      </c>
      <c r="D24" s="2" t="s">
        <v>233</v>
      </c>
      <c r="E24" s="2">
        <v>116.5</v>
      </c>
      <c r="F24" s="2">
        <v>87</v>
      </c>
      <c r="G24" s="2">
        <v>158</v>
      </c>
      <c r="H24" s="2">
        <v>1</v>
      </c>
      <c r="I24" s="2">
        <v>2</v>
      </c>
      <c r="J24" s="2">
        <v>9</v>
      </c>
      <c r="K24" s="2" t="s">
        <v>31</v>
      </c>
      <c r="L24" s="2" t="s">
        <v>32</v>
      </c>
      <c r="M24" s="2"/>
      <c r="N24" s="2" t="s">
        <v>236</v>
      </c>
      <c r="O24" s="2" t="s">
        <v>35</v>
      </c>
      <c r="P24" s="2" t="s">
        <v>36</v>
      </c>
      <c r="Q24" s="5">
        <v>46160.724710648137</v>
      </c>
      <c r="R24" t="s">
        <v>282</v>
      </c>
      <c r="S24" s="6">
        <v>46160</v>
      </c>
      <c r="T24" t="s">
        <v>38</v>
      </c>
      <c r="U24" t="s">
        <v>283</v>
      </c>
      <c r="V24" t="b">
        <v>1</v>
      </c>
      <c r="W24" t="s">
        <v>40</v>
      </c>
      <c r="X24">
        <v>72</v>
      </c>
      <c r="Y24">
        <v>8000</v>
      </c>
      <c r="Z24">
        <v>0.39987499999999998</v>
      </c>
      <c r="AA24" t="s">
        <v>41</v>
      </c>
      <c r="AB24" t="s">
        <v>42</v>
      </c>
      <c r="AC24" t="s">
        <v>43</v>
      </c>
    </row>
    <row r="25" spans="1:29" ht="15" customHeight="1">
      <c r="A25" s="2">
        <v>24</v>
      </c>
      <c r="B25" s="2">
        <v>3024</v>
      </c>
      <c r="C25" s="2" t="s">
        <v>29</v>
      </c>
      <c r="D25" s="2" t="s">
        <v>233</v>
      </c>
      <c r="E25" s="2">
        <v>118.5</v>
      </c>
      <c r="F25" s="2">
        <v>87</v>
      </c>
      <c r="G25" s="2">
        <v>158</v>
      </c>
      <c r="H25" s="2">
        <v>1</v>
      </c>
      <c r="I25" s="2">
        <v>2</v>
      </c>
      <c r="J25" s="2">
        <v>9</v>
      </c>
      <c r="K25" s="2" t="s">
        <v>68</v>
      </c>
      <c r="L25" s="2" t="s">
        <v>32</v>
      </c>
      <c r="M25" s="2"/>
      <c r="N25" s="2" t="s">
        <v>236</v>
      </c>
      <c r="O25" s="2" t="s">
        <v>35</v>
      </c>
      <c r="P25" s="2" t="s">
        <v>36</v>
      </c>
      <c r="Q25" s="5">
        <v>46160.726574074077</v>
      </c>
      <c r="R25" t="s">
        <v>284</v>
      </c>
      <c r="S25" s="6">
        <v>46160</v>
      </c>
      <c r="T25" t="s">
        <v>38</v>
      </c>
      <c r="U25" t="s">
        <v>285</v>
      </c>
      <c r="V25" t="b">
        <v>1</v>
      </c>
      <c r="W25" t="s">
        <v>40</v>
      </c>
      <c r="X25">
        <v>72</v>
      </c>
      <c r="Y25">
        <v>8000</v>
      </c>
      <c r="Z25">
        <v>0.39987499999999998</v>
      </c>
      <c r="AA25" t="s">
        <v>41</v>
      </c>
      <c r="AB25" t="s">
        <v>42</v>
      </c>
      <c r="AC25" t="s">
        <v>43</v>
      </c>
    </row>
    <row r="26" spans="1:29" ht="15" customHeight="1">
      <c r="A26" s="2">
        <v>25</v>
      </c>
      <c r="B26" s="2">
        <v>3025</v>
      </c>
      <c r="C26" s="2" t="s">
        <v>29</v>
      </c>
      <c r="D26" s="2" t="s">
        <v>233</v>
      </c>
      <c r="E26" s="2">
        <v>120.5</v>
      </c>
      <c r="F26" s="2">
        <v>87</v>
      </c>
      <c r="G26" s="2">
        <v>158</v>
      </c>
      <c r="H26" s="2">
        <v>1</v>
      </c>
      <c r="I26" s="2">
        <v>2</v>
      </c>
      <c r="J26" s="2">
        <v>9</v>
      </c>
      <c r="K26" s="2" t="s">
        <v>61</v>
      </c>
      <c r="L26" s="2" t="s">
        <v>32</v>
      </c>
      <c r="M26" s="2"/>
      <c r="N26" s="2" t="s">
        <v>236</v>
      </c>
      <c r="O26" s="2" t="s">
        <v>35</v>
      </c>
      <c r="P26" s="2" t="s">
        <v>36</v>
      </c>
      <c r="Q26" s="5">
        <v>46160.728692129633</v>
      </c>
      <c r="R26" t="s">
        <v>286</v>
      </c>
      <c r="S26" s="6">
        <v>46160</v>
      </c>
      <c r="T26" t="s">
        <v>38</v>
      </c>
      <c r="U26" t="s">
        <v>287</v>
      </c>
      <c r="V26" t="b">
        <v>1</v>
      </c>
      <c r="W26" t="s">
        <v>40</v>
      </c>
      <c r="X26">
        <v>72</v>
      </c>
      <c r="Y26">
        <v>8000</v>
      </c>
      <c r="Z26">
        <v>0.39987499999999998</v>
      </c>
      <c r="AA26" t="s">
        <v>41</v>
      </c>
      <c r="AB26" t="s">
        <v>42</v>
      </c>
      <c r="AC26" t="s">
        <v>43</v>
      </c>
    </row>
    <row r="27" spans="1:29" ht="15" customHeight="1">
      <c r="A27" s="2">
        <v>26</v>
      </c>
      <c r="B27" s="2">
        <v>3026</v>
      </c>
      <c r="C27" s="2" t="s">
        <v>29</v>
      </c>
      <c r="D27" s="2" t="s">
        <v>233</v>
      </c>
      <c r="E27" s="2">
        <v>122.5</v>
      </c>
      <c r="F27" s="2">
        <v>87</v>
      </c>
      <c r="G27" s="2">
        <v>158</v>
      </c>
      <c r="H27" s="2">
        <v>1</v>
      </c>
      <c r="I27" s="2">
        <v>2</v>
      </c>
      <c r="J27" s="2">
        <v>9</v>
      </c>
      <c r="K27" s="2" t="s">
        <v>92</v>
      </c>
      <c r="L27" s="2" t="s">
        <v>32</v>
      </c>
      <c r="M27" s="2" t="s">
        <v>288</v>
      </c>
      <c r="N27" s="2" t="s">
        <v>236</v>
      </c>
      <c r="O27" s="2" t="s">
        <v>35</v>
      </c>
      <c r="P27" s="2" t="s">
        <v>36</v>
      </c>
      <c r="Q27" s="5">
        <v>46160.731898148151</v>
      </c>
      <c r="R27" t="s">
        <v>289</v>
      </c>
      <c r="S27" s="6">
        <v>46160</v>
      </c>
      <c r="T27" t="s">
        <v>38</v>
      </c>
      <c r="U27" t="s">
        <v>290</v>
      </c>
      <c r="V27" t="b">
        <v>1</v>
      </c>
      <c r="W27" t="s">
        <v>40</v>
      </c>
      <c r="X27">
        <v>72</v>
      </c>
      <c r="Y27">
        <v>8000</v>
      </c>
      <c r="Z27">
        <v>0.39987499999999998</v>
      </c>
      <c r="AA27" t="s">
        <v>41</v>
      </c>
      <c r="AB27" t="s">
        <v>42</v>
      </c>
      <c r="AC27" t="s">
        <v>43</v>
      </c>
    </row>
    <row r="28" spans="1:29" ht="15" customHeight="1">
      <c r="A28" s="2">
        <v>27</v>
      </c>
      <c r="B28" s="2">
        <v>3027</v>
      </c>
      <c r="C28" s="2" t="s">
        <v>29</v>
      </c>
      <c r="D28" s="2" t="s">
        <v>233</v>
      </c>
      <c r="E28" s="2">
        <v>124.5</v>
      </c>
      <c r="F28" s="2">
        <v>87</v>
      </c>
      <c r="G28" s="2">
        <v>158</v>
      </c>
      <c r="H28" s="2">
        <v>1</v>
      </c>
      <c r="I28" s="2">
        <v>2</v>
      </c>
      <c r="J28" s="2">
        <v>9</v>
      </c>
      <c r="K28" s="2" t="s">
        <v>68</v>
      </c>
      <c r="L28" s="2" t="s">
        <v>32</v>
      </c>
      <c r="M28" s="2"/>
      <c r="N28" s="2" t="s">
        <v>236</v>
      </c>
      <c r="O28" s="2" t="s">
        <v>35</v>
      </c>
      <c r="P28" s="2" t="s">
        <v>36</v>
      </c>
      <c r="Q28" s="5">
        <v>46160.734293981477</v>
      </c>
      <c r="R28" t="s">
        <v>291</v>
      </c>
      <c r="S28" s="6">
        <v>46160</v>
      </c>
      <c r="T28" t="s">
        <v>38</v>
      </c>
      <c r="U28" t="s">
        <v>292</v>
      </c>
      <c r="V28" t="b">
        <v>1</v>
      </c>
      <c r="W28" t="s">
        <v>40</v>
      </c>
      <c r="X28">
        <v>72</v>
      </c>
      <c r="Y28">
        <v>8000</v>
      </c>
      <c r="Z28">
        <v>0.39987499999999998</v>
      </c>
      <c r="AA28" t="s">
        <v>41</v>
      </c>
      <c r="AB28" t="s">
        <v>42</v>
      </c>
      <c r="AC28" t="s">
        <v>43</v>
      </c>
    </row>
    <row r="29" spans="1:29" ht="15" customHeight="1">
      <c r="A29" s="2">
        <v>28</v>
      </c>
      <c r="B29" s="2">
        <v>3028</v>
      </c>
      <c r="C29" s="2" t="s">
        <v>29</v>
      </c>
      <c r="D29" s="2" t="s">
        <v>233</v>
      </c>
      <c r="E29" s="2">
        <v>126.5</v>
      </c>
      <c r="F29" s="2">
        <v>87</v>
      </c>
      <c r="G29" s="2">
        <v>158</v>
      </c>
      <c r="H29" s="2">
        <v>1</v>
      </c>
      <c r="I29" s="2">
        <v>2</v>
      </c>
      <c r="J29" s="2">
        <v>9</v>
      </c>
      <c r="K29" s="2" t="s">
        <v>31</v>
      </c>
      <c r="L29" s="2" t="s">
        <v>32</v>
      </c>
      <c r="M29" s="2"/>
      <c r="N29" s="2" t="s">
        <v>293</v>
      </c>
      <c r="O29" s="2" t="s">
        <v>35</v>
      </c>
      <c r="P29" s="2" t="s">
        <v>36</v>
      </c>
      <c r="Q29" s="5">
        <v>46160.73778935185</v>
      </c>
      <c r="R29" t="s">
        <v>294</v>
      </c>
      <c r="S29" s="6">
        <v>46160</v>
      </c>
      <c r="T29" t="s">
        <v>38</v>
      </c>
      <c r="U29" t="s">
        <v>295</v>
      </c>
      <c r="V29" t="b">
        <v>1</v>
      </c>
      <c r="W29" t="s">
        <v>40</v>
      </c>
      <c r="X29">
        <v>72</v>
      </c>
      <c r="Y29">
        <v>8000</v>
      </c>
      <c r="Z29">
        <v>0.39987499999999998</v>
      </c>
      <c r="AA29" t="s">
        <v>41</v>
      </c>
      <c r="AB29" t="s">
        <v>42</v>
      </c>
      <c r="AC29" t="s">
        <v>43</v>
      </c>
    </row>
    <row r="30" spans="1:29" ht="15" customHeight="1">
      <c r="A30" s="2">
        <v>29</v>
      </c>
      <c r="B30" s="2">
        <v>3029</v>
      </c>
      <c r="C30" s="2" t="s">
        <v>29</v>
      </c>
      <c r="D30" s="2" t="s">
        <v>233</v>
      </c>
      <c r="E30" s="2">
        <v>128.5</v>
      </c>
      <c r="F30" s="2">
        <v>87</v>
      </c>
      <c r="G30" s="2">
        <v>158</v>
      </c>
      <c r="H30" s="2">
        <v>1</v>
      </c>
      <c r="I30" s="2">
        <v>2</v>
      </c>
      <c r="J30" s="2">
        <v>9</v>
      </c>
      <c r="K30" s="2" t="s">
        <v>104</v>
      </c>
      <c r="L30" s="2" t="s">
        <v>32</v>
      </c>
      <c r="M30" s="2"/>
      <c r="N30" s="2" t="s">
        <v>293</v>
      </c>
      <c r="O30" s="2" t="s">
        <v>35</v>
      </c>
      <c r="P30" s="2" t="s">
        <v>36</v>
      </c>
      <c r="Q30" s="5">
        <v>46160.739791666667</v>
      </c>
      <c r="R30" t="s">
        <v>296</v>
      </c>
      <c r="S30" s="6">
        <v>46160</v>
      </c>
      <c r="T30" t="s">
        <v>38</v>
      </c>
      <c r="U30" t="s">
        <v>297</v>
      </c>
      <c r="V30" t="b">
        <v>1</v>
      </c>
      <c r="W30" t="s">
        <v>40</v>
      </c>
      <c r="X30">
        <v>72</v>
      </c>
      <c r="Y30">
        <v>8000</v>
      </c>
      <c r="Z30">
        <v>0.39987499999999998</v>
      </c>
      <c r="AA30" t="s">
        <v>41</v>
      </c>
      <c r="AB30" t="s">
        <v>42</v>
      </c>
      <c r="AC30" t="s">
        <v>43</v>
      </c>
    </row>
    <row r="31" spans="1:29" ht="15" customHeight="1">
      <c r="A31" s="2">
        <v>30</v>
      </c>
      <c r="B31" s="2">
        <v>3030</v>
      </c>
      <c r="C31" s="2" t="s">
        <v>29</v>
      </c>
      <c r="D31" s="2" t="s">
        <v>233</v>
      </c>
      <c r="E31" s="2">
        <v>130.5</v>
      </c>
      <c r="F31" s="2">
        <v>87</v>
      </c>
      <c r="G31" s="2">
        <v>158</v>
      </c>
      <c r="H31" s="2">
        <v>1</v>
      </c>
      <c r="I31" s="2">
        <v>2</v>
      </c>
      <c r="J31" s="2">
        <v>9</v>
      </c>
      <c r="K31" s="2" t="s">
        <v>47</v>
      </c>
      <c r="L31" s="2" t="s">
        <v>32</v>
      </c>
      <c r="M31" s="2" t="s">
        <v>298</v>
      </c>
      <c r="N31" s="2" t="s">
        <v>293</v>
      </c>
      <c r="O31" s="2" t="s">
        <v>35</v>
      </c>
      <c r="P31" s="2" t="s">
        <v>36</v>
      </c>
      <c r="Q31" s="5">
        <v>46160.742164351846</v>
      </c>
      <c r="R31" t="s">
        <v>299</v>
      </c>
      <c r="S31" s="6">
        <v>46160</v>
      </c>
      <c r="T31" t="s">
        <v>38</v>
      </c>
      <c r="U31" t="s">
        <v>300</v>
      </c>
      <c r="V31" t="b">
        <v>1</v>
      </c>
      <c r="W31" t="s">
        <v>40</v>
      </c>
      <c r="X31">
        <v>72</v>
      </c>
      <c r="Y31">
        <v>8000</v>
      </c>
      <c r="Z31">
        <v>0.39987499999999998</v>
      </c>
      <c r="AA31" t="s">
        <v>41</v>
      </c>
      <c r="AB31" t="s">
        <v>42</v>
      </c>
      <c r="AC31" t="s">
        <v>43</v>
      </c>
    </row>
    <row r="32" spans="1:29" ht="15" customHeight="1">
      <c r="A32" s="2">
        <v>31</v>
      </c>
      <c r="B32" s="2">
        <v>3031</v>
      </c>
      <c r="C32" s="2" t="s">
        <v>29</v>
      </c>
      <c r="D32" s="2" t="s">
        <v>233</v>
      </c>
      <c r="E32" s="2">
        <v>132.5</v>
      </c>
      <c r="F32" s="2">
        <v>87</v>
      </c>
      <c r="G32" s="2">
        <v>158</v>
      </c>
      <c r="H32" s="2">
        <v>1</v>
      </c>
      <c r="I32" s="2">
        <v>2</v>
      </c>
      <c r="J32" s="2">
        <v>9</v>
      </c>
      <c r="K32" s="2" t="s">
        <v>104</v>
      </c>
      <c r="L32" s="2" t="s">
        <v>32</v>
      </c>
      <c r="M32" s="2"/>
      <c r="N32" s="2" t="s">
        <v>293</v>
      </c>
      <c r="O32" s="2" t="s">
        <v>35</v>
      </c>
      <c r="P32" s="2" t="s">
        <v>36</v>
      </c>
      <c r="Q32" s="5">
        <v>46160.744351851848</v>
      </c>
      <c r="R32" t="s">
        <v>301</v>
      </c>
      <c r="S32" s="6">
        <v>46160</v>
      </c>
      <c r="T32" t="s">
        <v>38</v>
      </c>
      <c r="U32" t="s">
        <v>302</v>
      </c>
      <c r="V32" t="b">
        <v>1</v>
      </c>
      <c r="W32" t="s">
        <v>40</v>
      </c>
      <c r="X32">
        <v>72</v>
      </c>
      <c r="Y32">
        <v>8000</v>
      </c>
      <c r="Z32">
        <v>0.39987499999999998</v>
      </c>
      <c r="AA32" t="s">
        <v>41</v>
      </c>
      <c r="AB32" t="s">
        <v>42</v>
      </c>
      <c r="AC32" t="s">
        <v>43</v>
      </c>
    </row>
    <row r="33" spans="1:29" ht="15" customHeight="1">
      <c r="A33" s="2">
        <v>32</v>
      </c>
      <c r="B33" s="2">
        <v>3032</v>
      </c>
      <c r="C33" s="2" t="s">
        <v>29</v>
      </c>
      <c r="D33" s="2" t="s">
        <v>233</v>
      </c>
      <c r="E33" s="2">
        <v>134.5</v>
      </c>
      <c r="F33" s="2">
        <v>87</v>
      </c>
      <c r="G33" s="2">
        <v>158</v>
      </c>
      <c r="H33" s="2">
        <v>1</v>
      </c>
      <c r="I33" s="2">
        <v>2</v>
      </c>
      <c r="J33" s="2">
        <v>9</v>
      </c>
      <c r="K33" s="2" t="s">
        <v>31</v>
      </c>
      <c r="L33" s="2" t="s">
        <v>32</v>
      </c>
      <c r="M33" s="2"/>
      <c r="N33" s="2" t="s">
        <v>293</v>
      </c>
      <c r="O33" s="2" t="s">
        <v>35</v>
      </c>
      <c r="P33" s="2" t="s">
        <v>36</v>
      </c>
      <c r="Q33" s="5">
        <v>46160.746249999997</v>
      </c>
      <c r="R33" t="s">
        <v>303</v>
      </c>
      <c r="S33" s="6">
        <v>46160</v>
      </c>
      <c r="T33" t="s">
        <v>38</v>
      </c>
      <c r="U33" t="s">
        <v>304</v>
      </c>
      <c r="V33" t="b">
        <v>1</v>
      </c>
      <c r="W33" t="s">
        <v>40</v>
      </c>
      <c r="X33">
        <v>72</v>
      </c>
      <c r="Y33">
        <v>8000</v>
      </c>
      <c r="Z33">
        <v>0.39987499999999998</v>
      </c>
      <c r="AA33" t="s">
        <v>41</v>
      </c>
      <c r="AB33" t="s">
        <v>42</v>
      </c>
      <c r="AC33" t="s">
        <v>43</v>
      </c>
    </row>
    <row r="34" spans="1:29" ht="15" customHeight="1">
      <c r="A34" s="2">
        <v>33</v>
      </c>
      <c r="B34" s="2">
        <v>3033</v>
      </c>
      <c r="C34" s="2" t="s">
        <v>29</v>
      </c>
      <c r="D34" s="2" t="s">
        <v>233</v>
      </c>
      <c r="E34" s="2">
        <v>136.5</v>
      </c>
      <c r="F34" s="2">
        <v>87</v>
      </c>
      <c r="G34" s="2">
        <v>158</v>
      </c>
      <c r="H34" s="2">
        <v>1</v>
      </c>
      <c r="I34" s="2">
        <v>2</v>
      </c>
      <c r="J34" s="2">
        <v>9</v>
      </c>
      <c r="K34" s="2" t="s">
        <v>68</v>
      </c>
      <c r="L34" s="2" t="s">
        <v>32</v>
      </c>
      <c r="M34" s="2"/>
      <c r="N34" s="2" t="s">
        <v>293</v>
      </c>
      <c r="O34" s="2" t="s">
        <v>35</v>
      </c>
      <c r="P34" s="2" t="s">
        <v>36</v>
      </c>
      <c r="Q34" s="5">
        <v>46160.74759259259</v>
      </c>
      <c r="R34" t="s">
        <v>305</v>
      </c>
      <c r="S34" s="6">
        <v>46160</v>
      </c>
      <c r="T34" t="s">
        <v>38</v>
      </c>
      <c r="U34" t="s">
        <v>306</v>
      </c>
      <c r="V34" t="b">
        <v>1</v>
      </c>
      <c r="W34" t="s">
        <v>40</v>
      </c>
      <c r="X34">
        <v>72</v>
      </c>
      <c r="Y34">
        <v>8000</v>
      </c>
      <c r="Z34">
        <v>0.39987499999999998</v>
      </c>
      <c r="AA34" t="s">
        <v>41</v>
      </c>
      <c r="AB34" t="s">
        <v>42</v>
      </c>
      <c r="AC34" t="s">
        <v>43</v>
      </c>
    </row>
    <row r="35" spans="1:29" ht="15" customHeight="1">
      <c r="A35" s="2">
        <v>34</v>
      </c>
      <c r="B35" s="2">
        <v>3034</v>
      </c>
      <c r="C35" s="2" t="s">
        <v>29</v>
      </c>
      <c r="D35" s="2" t="s">
        <v>233</v>
      </c>
      <c r="E35" s="2">
        <v>138.5</v>
      </c>
      <c r="F35" s="2">
        <v>87</v>
      </c>
      <c r="G35" s="2">
        <v>158</v>
      </c>
      <c r="H35" s="2">
        <v>1</v>
      </c>
      <c r="I35" s="2">
        <v>2</v>
      </c>
      <c r="J35" s="2">
        <v>9</v>
      </c>
      <c r="K35" s="2" t="s">
        <v>307</v>
      </c>
      <c r="L35" s="2" t="s">
        <v>32</v>
      </c>
      <c r="M35" s="2" t="s">
        <v>308</v>
      </c>
      <c r="N35" s="2" t="s">
        <v>293</v>
      </c>
      <c r="O35" s="2" t="s">
        <v>142</v>
      </c>
      <c r="P35" s="2" t="s">
        <v>143</v>
      </c>
      <c r="Q35" s="5">
        <v>46160.751747685194</v>
      </c>
      <c r="R35" t="s">
        <v>309</v>
      </c>
      <c r="S35" s="6">
        <v>46160</v>
      </c>
      <c r="T35" t="s">
        <v>38</v>
      </c>
      <c r="U35" t="s">
        <v>310</v>
      </c>
      <c r="V35" t="b">
        <v>1</v>
      </c>
      <c r="W35" t="s">
        <v>40</v>
      </c>
      <c r="X35">
        <v>72</v>
      </c>
      <c r="Y35">
        <v>8000</v>
      </c>
      <c r="Z35">
        <v>0.39987499999999998</v>
      </c>
      <c r="AA35" t="s">
        <v>41</v>
      </c>
      <c r="AB35" t="s">
        <v>42</v>
      </c>
      <c r="AC35" t="s">
        <v>43</v>
      </c>
    </row>
    <row r="36" spans="1:29" ht="15" customHeight="1">
      <c r="A36" s="2">
        <v>35</v>
      </c>
      <c r="B36" s="2">
        <v>3035</v>
      </c>
      <c r="C36" s="2" t="s">
        <v>29</v>
      </c>
      <c r="D36" s="2" t="s">
        <v>233</v>
      </c>
      <c r="E36" s="2">
        <v>140.5</v>
      </c>
      <c r="F36" s="2">
        <v>87</v>
      </c>
      <c r="G36" s="2">
        <v>158</v>
      </c>
      <c r="H36" s="2">
        <v>1</v>
      </c>
      <c r="I36" s="2">
        <v>2</v>
      </c>
      <c r="J36" s="2">
        <v>10</v>
      </c>
      <c r="K36" s="2" t="s">
        <v>53</v>
      </c>
      <c r="L36" s="2" t="s">
        <v>32</v>
      </c>
      <c r="M36" s="2"/>
      <c r="N36" s="2" t="s">
        <v>293</v>
      </c>
      <c r="O36" s="2" t="s">
        <v>35</v>
      </c>
      <c r="P36" s="2" t="s">
        <v>36</v>
      </c>
      <c r="Q36" s="5">
        <v>46160.75371527778</v>
      </c>
      <c r="R36" t="s">
        <v>311</v>
      </c>
      <c r="S36" s="6">
        <v>46160</v>
      </c>
      <c r="T36" t="s">
        <v>38</v>
      </c>
      <c r="U36" t="s">
        <v>312</v>
      </c>
      <c r="V36" t="b">
        <v>1</v>
      </c>
      <c r="W36" t="s">
        <v>40</v>
      </c>
      <c r="X36">
        <v>72</v>
      </c>
      <c r="Y36">
        <v>8000</v>
      </c>
      <c r="Z36">
        <v>0.39987499999999998</v>
      </c>
      <c r="AA36" t="s">
        <v>41</v>
      </c>
      <c r="AB36" t="s">
        <v>42</v>
      </c>
      <c r="AC36" t="s">
        <v>43</v>
      </c>
    </row>
    <row r="37" spans="1:29" ht="15" customHeight="1">
      <c r="A37" s="2">
        <v>36</v>
      </c>
      <c r="B37" s="2">
        <v>3036</v>
      </c>
      <c r="C37" s="2" t="s">
        <v>29</v>
      </c>
      <c r="D37" s="2" t="s">
        <v>233</v>
      </c>
      <c r="E37" s="2">
        <v>142.5</v>
      </c>
      <c r="F37" s="2">
        <v>87</v>
      </c>
      <c r="G37" s="2">
        <v>158</v>
      </c>
      <c r="H37" s="2">
        <v>1</v>
      </c>
      <c r="I37" s="2">
        <v>2</v>
      </c>
      <c r="J37" s="2">
        <v>10</v>
      </c>
      <c r="K37" s="2" t="s">
        <v>56</v>
      </c>
      <c r="L37" s="2" t="s">
        <v>32</v>
      </c>
      <c r="M37" s="2"/>
      <c r="N37" s="2" t="s">
        <v>293</v>
      </c>
      <c r="O37" s="2" t="s">
        <v>35</v>
      </c>
      <c r="P37" s="2" t="s">
        <v>36</v>
      </c>
      <c r="Q37" s="5">
        <v>46160.758402777778</v>
      </c>
      <c r="R37" t="s">
        <v>313</v>
      </c>
      <c r="S37" s="6">
        <v>46160</v>
      </c>
      <c r="T37" t="s">
        <v>38</v>
      </c>
      <c r="U37" t="s">
        <v>314</v>
      </c>
      <c r="V37" t="b">
        <v>1</v>
      </c>
      <c r="W37" t="s">
        <v>40</v>
      </c>
      <c r="X37">
        <v>72</v>
      </c>
      <c r="Y37">
        <v>8000</v>
      </c>
      <c r="Z37">
        <v>0.39987499999999998</v>
      </c>
      <c r="AA37" t="s">
        <v>41</v>
      </c>
      <c r="AB37" t="s">
        <v>42</v>
      </c>
      <c r="AC37" t="s">
        <v>43</v>
      </c>
    </row>
    <row r="38" spans="1:29" ht="15" customHeight="1">
      <c r="A38" s="2">
        <v>37</v>
      </c>
      <c r="B38" s="2">
        <v>3037</v>
      </c>
      <c r="C38" s="2" t="s">
        <v>29</v>
      </c>
      <c r="D38" s="2" t="s">
        <v>233</v>
      </c>
      <c r="E38" s="2">
        <v>144.5</v>
      </c>
      <c r="F38" s="2">
        <v>87</v>
      </c>
      <c r="G38" s="2">
        <v>158</v>
      </c>
      <c r="H38" s="2">
        <v>1</v>
      </c>
      <c r="I38" s="2">
        <v>2</v>
      </c>
      <c r="J38" s="2">
        <v>9</v>
      </c>
      <c r="K38" s="2" t="s">
        <v>68</v>
      </c>
      <c r="L38" s="2" t="s">
        <v>32</v>
      </c>
      <c r="M38" s="2"/>
      <c r="N38" s="2" t="s">
        <v>293</v>
      </c>
      <c r="O38" s="2" t="s">
        <v>35</v>
      </c>
      <c r="P38" s="2" t="s">
        <v>36</v>
      </c>
      <c r="Q38" s="5">
        <v>46160.760266203702</v>
      </c>
      <c r="R38" t="s">
        <v>315</v>
      </c>
      <c r="S38" s="6">
        <v>46160</v>
      </c>
      <c r="T38" t="s">
        <v>38</v>
      </c>
      <c r="U38" t="s">
        <v>316</v>
      </c>
      <c r="V38" t="b">
        <v>1</v>
      </c>
      <c r="W38" t="s">
        <v>40</v>
      </c>
      <c r="X38">
        <v>72</v>
      </c>
      <c r="Y38">
        <v>8000</v>
      </c>
      <c r="Z38">
        <v>0.39987499999999998</v>
      </c>
      <c r="AA38" t="s">
        <v>41</v>
      </c>
      <c r="AB38" t="s">
        <v>42</v>
      </c>
      <c r="AC38" t="s">
        <v>43</v>
      </c>
    </row>
    <row r="39" spans="1:29" ht="15" customHeight="1">
      <c r="A39" s="2">
        <v>38</v>
      </c>
      <c r="B39" s="2">
        <v>3038</v>
      </c>
      <c r="C39" s="2" t="s">
        <v>29</v>
      </c>
      <c r="D39" s="2" t="s">
        <v>233</v>
      </c>
      <c r="E39" s="2">
        <v>146.5</v>
      </c>
      <c r="F39" s="2">
        <v>87</v>
      </c>
      <c r="G39" s="2">
        <v>158</v>
      </c>
      <c r="H39" s="2">
        <v>1</v>
      </c>
      <c r="I39" s="2">
        <v>2</v>
      </c>
      <c r="J39" s="2">
        <v>9</v>
      </c>
      <c r="K39" s="2" t="s">
        <v>92</v>
      </c>
      <c r="L39" s="2" t="s">
        <v>32</v>
      </c>
      <c r="M39" s="2"/>
      <c r="N39" s="2" t="s">
        <v>293</v>
      </c>
      <c r="O39" s="2" t="s">
        <v>35</v>
      </c>
      <c r="P39" s="2" t="s">
        <v>36</v>
      </c>
      <c r="Q39" s="5">
        <v>46160.761921296304</v>
      </c>
      <c r="R39" t="s">
        <v>317</v>
      </c>
      <c r="S39" s="6">
        <v>46160</v>
      </c>
      <c r="T39" t="s">
        <v>38</v>
      </c>
      <c r="U39" t="s">
        <v>318</v>
      </c>
      <c r="V39" t="b">
        <v>1</v>
      </c>
      <c r="W39" t="s">
        <v>40</v>
      </c>
      <c r="X39">
        <v>72</v>
      </c>
      <c r="Y39">
        <v>8000</v>
      </c>
      <c r="Z39">
        <v>0.39987499999999998</v>
      </c>
      <c r="AA39" t="s">
        <v>41</v>
      </c>
      <c r="AB39" t="s">
        <v>42</v>
      </c>
      <c r="AC39" t="s">
        <v>43</v>
      </c>
    </row>
    <row r="40" spans="1:29" ht="15" customHeight="1">
      <c r="A40" s="2">
        <v>39</v>
      </c>
      <c r="B40" s="2">
        <v>3039</v>
      </c>
      <c r="C40" s="2" t="s">
        <v>29</v>
      </c>
      <c r="D40" s="2" t="s">
        <v>233</v>
      </c>
      <c r="E40" s="2">
        <v>148.5</v>
      </c>
      <c r="F40" s="2">
        <v>87</v>
      </c>
      <c r="G40" s="2">
        <v>158</v>
      </c>
      <c r="H40" s="2">
        <v>1</v>
      </c>
      <c r="I40" s="2">
        <v>2</v>
      </c>
      <c r="J40" s="2">
        <v>9</v>
      </c>
      <c r="K40" s="2" t="s">
        <v>31</v>
      </c>
      <c r="L40" s="2" t="s">
        <v>32</v>
      </c>
      <c r="M40" s="2"/>
      <c r="N40" s="2" t="s">
        <v>293</v>
      </c>
      <c r="O40" s="2" t="s">
        <v>35</v>
      </c>
      <c r="P40" s="2" t="s">
        <v>36</v>
      </c>
      <c r="Q40" s="5">
        <v>46160.76394675926</v>
      </c>
      <c r="R40" t="s">
        <v>319</v>
      </c>
      <c r="S40" s="6">
        <v>46160</v>
      </c>
      <c r="T40" t="s">
        <v>38</v>
      </c>
      <c r="U40" t="s">
        <v>320</v>
      </c>
      <c r="V40" t="b">
        <v>1</v>
      </c>
      <c r="W40" t="s">
        <v>40</v>
      </c>
      <c r="X40">
        <v>72</v>
      </c>
      <c r="Y40">
        <v>8000</v>
      </c>
      <c r="Z40">
        <v>0.39987499999999998</v>
      </c>
      <c r="AA40" t="s">
        <v>41</v>
      </c>
      <c r="AB40" t="s">
        <v>42</v>
      </c>
      <c r="AC40" t="s">
        <v>43</v>
      </c>
    </row>
    <row r="41" spans="1:29" ht="15" customHeight="1">
      <c r="A41" s="2">
        <v>40</v>
      </c>
      <c r="B41" s="2">
        <v>3040</v>
      </c>
      <c r="C41" s="2" t="s">
        <v>29</v>
      </c>
      <c r="D41" s="2" t="s">
        <v>233</v>
      </c>
      <c r="E41" s="2">
        <v>150.5</v>
      </c>
      <c r="F41" s="2">
        <v>87</v>
      </c>
      <c r="G41" s="2">
        <v>158</v>
      </c>
      <c r="H41" s="2">
        <v>1</v>
      </c>
      <c r="I41" s="2">
        <v>2</v>
      </c>
      <c r="J41" s="2">
        <v>9</v>
      </c>
      <c r="K41" s="2" t="s">
        <v>68</v>
      </c>
      <c r="L41" s="2" t="s">
        <v>32</v>
      </c>
      <c r="M41" s="2"/>
      <c r="N41" s="2" t="s">
        <v>293</v>
      </c>
      <c r="O41" s="2" t="s">
        <v>35</v>
      </c>
      <c r="P41" s="2" t="s">
        <v>36</v>
      </c>
      <c r="Q41" s="5">
        <v>46160.765266203707</v>
      </c>
      <c r="R41" t="s">
        <v>321</v>
      </c>
      <c r="S41" s="6">
        <v>46160</v>
      </c>
      <c r="T41" t="s">
        <v>38</v>
      </c>
      <c r="U41" t="s">
        <v>322</v>
      </c>
      <c r="V41" t="b">
        <v>1</v>
      </c>
      <c r="W41" t="s">
        <v>40</v>
      </c>
      <c r="X41">
        <v>72</v>
      </c>
      <c r="Y41">
        <v>8000</v>
      </c>
      <c r="Z41">
        <v>0.39987499999999998</v>
      </c>
      <c r="AA41" t="s">
        <v>41</v>
      </c>
      <c r="AB41" t="s">
        <v>42</v>
      </c>
      <c r="AC41" t="s">
        <v>43</v>
      </c>
    </row>
    <row r="42" spans="1:29" ht="15" customHeight="1">
      <c r="A42" s="2">
        <v>41</v>
      </c>
      <c r="B42" s="2">
        <v>3041</v>
      </c>
      <c r="C42" s="2" t="s">
        <v>29</v>
      </c>
      <c r="D42" s="2" t="s">
        <v>233</v>
      </c>
      <c r="E42" s="2">
        <v>152.5</v>
      </c>
      <c r="F42" s="2">
        <v>87</v>
      </c>
      <c r="G42" s="2">
        <v>158</v>
      </c>
      <c r="H42" s="2">
        <v>1</v>
      </c>
      <c r="I42" s="2">
        <v>2</v>
      </c>
      <c r="J42" s="2">
        <v>9</v>
      </c>
      <c r="K42" s="2" t="s">
        <v>56</v>
      </c>
      <c r="L42" s="2" t="s">
        <v>32</v>
      </c>
      <c r="M42" s="2"/>
      <c r="N42" s="2" t="s">
        <v>293</v>
      </c>
      <c r="O42" s="2" t="s">
        <v>35</v>
      </c>
      <c r="P42" s="2" t="s">
        <v>36</v>
      </c>
      <c r="Q42" s="5">
        <v>46160.767013888893</v>
      </c>
      <c r="R42" t="s">
        <v>323</v>
      </c>
      <c r="S42" s="6">
        <v>46160</v>
      </c>
      <c r="T42" t="s">
        <v>38</v>
      </c>
      <c r="U42" t="s">
        <v>324</v>
      </c>
      <c r="V42" t="b">
        <v>1</v>
      </c>
      <c r="W42" t="s">
        <v>40</v>
      </c>
      <c r="X42">
        <v>72</v>
      </c>
      <c r="Y42">
        <v>8000</v>
      </c>
      <c r="Z42">
        <v>0.39987499999999998</v>
      </c>
      <c r="AA42" t="s">
        <v>41</v>
      </c>
      <c r="AB42" t="s">
        <v>42</v>
      </c>
      <c r="AC42" t="s">
        <v>43</v>
      </c>
    </row>
    <row r="43" spans="1:29" ht="15" customHeight="1">
      <c r="A43" s="2">
        <v>42</v>
      </c>
      <c r="B43" s="2">
        <v>3042</v>
      </c>
      <c r="C43" s="2" t="s">
        <v>29</v>
      </c>
      <c r="D43" s="2" t="s">
        <v>233</v>
      </c>
      <c r="E43" s="2">
        <v>154.5</v>
      </c>
      <c r="F43" s="2">
        <v>87</v>
      </c>
      <c r="G43" s="2">
        <v>158</v>
      </c>
      <c r="H43" s="2">
        <v>1</v>
      </c>
      <c r="I43" s="2">
        <v>2</v>
      </c>
      <c r="J43" s="2">
        <v>9</v>
      </c>
      <c r="K43" s="2" t="s">
        <v>53</v>
      </c>
      <c r="L43" s="2" t="s">
        <v>32</v>
      </c>
      <c r="M43" s="2"/>
      <c r="N43" s="2" t="s">
        <v>293</v>
      </c>
      <c r="O43" s="2" t="s">
        <v>35</v>
      </c>
      <c r="P43" s="2" t="s">
        <v>36</v>
      </c>
      <c r="Q43" s="5">
        <v>46160.768287037034</v>
      </c>
      <c r="R43" t="s">
        <v>325</v>
      </c>
      <c r="S43" s="6">
        <v>46160</v>
      </c>
      <c r="T43" t="s">
        <v>38</v>
      </c>
      <c r="U43" t="s">
        <v>326</v>
      </c>
      <c r="V43" t="b">
        <v>1</v>
      </c>
      <c r="W43" t="s">
        <v>40</v>
      </c>
      <c r="X43">
        <v>72</v>
      </c>
      <c r="Y43">
        <v>8000</v>
      </c>
      <c r="Z43">
        <v>0.39987499999999998</v>
      </c>
      <c r="AA43" t="s">
        <v>41</v>
      </c>
      <c r="AB43" t="s">
        <v>42</v>
      </c>
      <c r="AC43" t="s">
        <v>43</v>
      </c>
    </row>
    <row r="44" spans="1:29" ht="15" customHeight="1">
      <c r="A44" s="2">
        <v>43</v>
      </c>
      <c r="B44" s="2">
        <v>3043</v>
      </c>
      <c r="C44" s="2" t="s">
        <v>29</v>
      </c>
      <c r="D44" s="2" t="s">
        <v>233</v>
      </c>
      <c r="E44" s="2">
        <v>156.5</v>
      </c>
      <c r="F44" s="2">
        <v>87</v>
      </c>
      <c r="G44" s="2">
        <v>158</v>
      </c>
      <c r="H44" s="2">
        <v>1</v>
      </c>
      <c r="I44" s="2">
        <v>2</v>
      </c>
      <c r="J44" s="2">
        <v>9</v>
      </c>
      <c r="K44" s="2" t="s">
        <v>31</v>
      </c>
      <c r="L44" s="2" t="s">
        <v>32</v>
      </c>
      <c r="M44" s="2"/>
      <c r="N44" s="2" t="s">
        <v>293</v>
      </c>
      <c r="O44" s="2" t="s">
        <v>35</v>
      </c>
      <c r="P44" s="2" t="s">
        <v>36</v>
      </c>
      <c r="Q44" s="5">
        <v>46160.769687499997</v>
      </c>
      <c r="R44" t="s">
        <v>327</v>
      </c>
      <c r="S44" s="6">
        <v>46160</v>
      </c>
      <c r="T44" t="s">
        <v>38</v>
      </c>
      <c r="U44" t="s">
        <v>328</v>
      </c>
      <c r="V44" t="b">
        <v>1</v>
      </c>
      <c r="W44" t="s">
        <v>40</v>
      </c>
      <c r="X44">
        <v>72</v>
      </c>
      <c r="Y44">
        <v>8000</v>
      </c>
      <c r="Z44">
        <v>0.39987499999999998</v>
      </c>
      <c r="AA44" t="s">
        <v>41</v>
      </c>
      <c r="AB44" t="s">
        <v>42</v>
      </c>
      <c r="AC44" t="s">
        <v>43</v>
      </c>
    </row>
    <row r="45" spans="1:29" ht="15" customHeight="1">
      <c r="A45" s="2">
        <v>44</v>
      </c>
      <c r="B45" s="2">
        <v>3044</v>
      </c>
      <c r="C45" s="2" t="s">
        <v>29</v>
      </c>
      <c r="D45" s="2" t="s">
        <v>233</v>
      </c>
      <c r="E45" s="2">
        <v>158.5</v>
      </c>
      <c r="F45" s="2">
        <v>87</v>
      </c>
      <c r="G45" s="2">
        <v>158</v>
      </c>
      <c r="H45" s="2">
        <v>1</v>
      </c>
      <c r="I45" s="2">
        <v>2</v>
      </c>
      <c r="J45" s="2">
        <v>9</v>
      </c>
      <c r="K45" s="2" t="s">
        <v>68</v>
      </c>
      <c r="L45" s="2" t="s">
        <v>32</v>
      </c>
      <c r="M45" s="2"/>
      <c r="N45" s="2" t="s">
        <v>293</v>
      </c>
      <c r="O45" s="2" t="s">
        <v>35</v>
      </c>
      <c r="P45" s="2" t="s">
        <v>36</v>
      </c>
      <c r="Q45" s="5">
        <v>46160.771504629629</v>
      </c>
      <c r="R45" t="s">
        <v>329</v>
      </c>
      <c r="S45" s="6">
        <v>46160</v>
      </c>
      <c r="T45" t="s">
        <v>38</v>
      </c>
      <c r="U45" t="s">
        <v>330</v>
      </c>
      <c r="V45" t="b">
        <v>1</v>
      </c>
      <c r="W45" t="s">
        <v>40</v>
      </c>
      <c r="X45">
        <v>72</v>
      </c>
      <c r="Y45">
        <v>8000</v>
      </c>
      <c r="Z45">
        <v>0.39987499999999998</v>
      </c>
      <c r="AA45" t="s">
        <v>41</v>
      </c>
      <c r="AB45" t="s">
        <v>42</v>
      </c>
      <c r="AC45" t="s">
        <v>43</v>
      </c>
    </row>
    <row r="46" spans="1:29" ht="15" customHeight="1">
      <c r="A46" s="2">
        <v>45</v>
      </c>
      <c r="B46" s="2">
        <v>3045</v>
      </c>
      <c r="C46" s="2" t="s">
        <v>29</v>
      </c>
      <c r="D46" s="2" t="s">
        <v>233</v>
      </c>
      <c r="E46" s="2">
        <v>160.5</v>
      </c>
      <c r="F46" s="2">
        <v>87</v>
      </c>
      <c r="G46" s="2">
        <v>158</v>
      </c>
      <c r="H46" s="2">
        <v>1</v>
      </c>
      <c r="I46" s="2">
        <v>2</v>
      </c>
      <c r="J46" s="2">
        <v>9</v>
      </c>
      <c r="K46" s="2" t="s">
        <v>61</v>
      </c>
      <c r="L46" s="2" t="s">
        <v>32</v>
      </c>
      <c r="M46" s="2"/>
      <c r="N46" s="2" t="s">
        <v>293</v>
      </c>
      <c r="O46" s="2" t="s">
        <v>35</v>
      </c>
      <c r="P46" s="2" t="s">
        <v>36</v>
      </c>
      <c r="Q46" s="5">
        <v>46160.774293981478</v>
      </c>
      <c r="R46" t="s">
        <v>331</v>
      </c>
      <c r="S46" s="6">
        <v>46160</v>
      </c>
      <c r="T46" t="s">
        <v>38</v>
      </c>
      <c r="U46" t="s">
        <v>332</v>
      </c>
      <c r="V46" t="b">
        <v>1</v>
      </c>
      <c r="W46" t="s">
        <v>40</v>
      </c>
      <c r="X46">
        <v>72</v>
      </c>
      <c r="Y46">
        <v>8000</v>
      </c>
      <c r="Z46">
        <v>0.39987499999999998</v>
      </c>
      <c r="AA46" t="s">
        <v>41</v>
      </c>
      <c r="AB46" t="s">
        <v>42</v>
      </c>
      <c r="AC46" t="s">
        <v>43</v>
      </c>
    </row>
    <row r="47" spans="1:29" ht="15" customHeight="1">
      <c r="A47" s="2">
        <v>46</v>
      </c>
      <c r="B47" s="2">
        <v>3046</v>
      </c>
      <c r="C47" s="2" t="s">
        <v>29</v>
      </c>
      <c r="D47" s="2" t="s">
        <v>233</v>
      </c>
      <c r="E47" s="2">
        <v>162.5</v>
      </c>
      <c r="F47" s="2">
        <v>87</v>
      </c>
      <c r="G47" s="2">
        <v>158</v>
      </c>
      <c r="H47" s="2">
        <v>1</v>
      </c>
      <c r="I47" s="2">
        <v>2</v>
      </c>
      <c r="J47" s="2">
        <v>9</v>
      </c>
      <c r="K47" s="2" t="s">
        <v>56</v>
      </c>
      <c r="L47" s="2" t="s">
        <v>32</v>
      </c>
      <c r="M47" s="2"/>
      <c r="N47" s="2" t="s">
        <v>293</v>
      </c>
      <c r="O47" s="2" t="s">
        <v>35</v>
      </c>
      <c r="P47" s="2" t="s">
        <v>36</v>
      </c>
      <c r="Q47" s="5">
        <v>46160.776770833327</v>
      </c>
      <c r="R47" t="s">
        <v>333</v>
      </c>
      <c r="S47" s="6">
        <v>46160</v>
      </c>
      <c r="T47" t="s">
        <v>38</v>
      </c>
      <c r="U47" t="s">
        <v>334</v>
      </c>
      <c r="V47" t="b">
        <v>1</v>
      </c>
      <c r="W47" t="s">
        <v>40</v>
      </c>
      <c r="X47">
        <v>72</v>
      </c>
      <c r="Y47">
        <v>8000</v>
      </c>
      <c r="Z47">
        <v>0.39987499999999998</v>
      </c>
      <c r="AA47" t="s">
        <v>41</v>
      </c>
      <c r="AB47" t="s">
        <v>42</v>
      </c>
      <c r="AC47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3"/>
  <sheetViews>
    <sheetView tabSelected="1" workbookViewId="0">
      <selection activeCell="N46" sqref="N46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2">
        <v>1</v>
      </c>
      <c r="B2" s="2">
        <v>3047</v>
      </c>
      <c r="C2" s="2" t="s">
        <v>29</v>
      </c>
      <c r="D2" s="2" t="s">
        <v>30</v>
      </c>
      <c r="E2" s="2">
        <v>43</v>
      </c>
      <c r="F2" s="2">
        <v>52</v>
      </c>
      <c r="G2" s="2">
        <v>194</v>
      </c>
      <c r="H2" s="2">
        <v>2</v>
      </c>
      <c r="I2" s="2">
        <v>4</v>
      </c>
      <c r="J2" s="2">
        <v>10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5">
        <v>46160.846342592587</v>
      </c>
      <c r="R2" t="s">
        <v>37</v>
      </c>
      <c r="S2" s="6">
        <v>46160</v>
      </c>
      <c r="T2" t="s">
        <v>38</v>
      </c>
      <c r="U2" t="s">
        <v>39</v>
      </c>
      <c r="V2" t="b">
        <v>1</v>
      </c>
      <c r="W2" t="s">
        <v>40</v>
      </c>
      <c r="X2">
        <v>72</v>
      </c>
      <c r="Y2">
        <v>8000</v>
      </c>
      <c r="Z2">
        <v>0.59987500000000005</v>
      </c>
      <c r="AA2" t="s">
        <v>41</v>
      </c>
      <c r="AB2" t="s">
        <v>42</v>
      </c>
      <c r="AC2" t="s">
        <v>43</v>
      </c>
    </row>
    <row r="3" spans="1:29" ht="15" customHeight="1">
      <c r="A3" s="2">
        <v>2</v>
      </c>
      <c r="B3" s="2">
        <v>3048</v>
      </c>
      <c r="C3" s="2" t="s">
        <v>29</v>
      </c>
      <c r="D3" s="2" t="s">
        <v>30</v>
      </c>
      <c r="E3" s="2">
        <v>47</v>
      </c>
      <c r="F3" s="2">
        <v>52</v>
      </c>
      <c r="G3" s="2">
        <v>194</v>
      </c>
      <c r="H3" s="2">
        <v>2</v>
      </c>
      <c r="I3" s="2">
        <v>4</v>
      </c>
      <c r="J3" s="2">
        <v>10</v>
      </c>
      <c r="K3" s="2" t="s">
        <v>44</v>
      </c>
      <c r="L3" s="2" t="s">
        <v>32</v>
      </c>
      <c r="M3" s="2"/>
      <c r="N3" s="2" t="s">
        <v>34</v>
      </c>
      <c r="O3" s="2" t="s">
        <v>35</v>
      </c>
      <c r="P3" s="2" t="s">
        <v>36</v>
      </c>
      <c r="Q3" s="5">
        <v>46160.848425925928</v>
      </c>
      <c r="R3" t="s">
        <v>45</v>
      </c>
      <c r="S3" s="6">
        <v>46160</v>
      </c>
      <c r="T3" t="s">
        <v>38</v>
      </c>
      <c r="U3" t="s">
        <v>46</v>
      </c>
      <c r="V3" t="b">
        <v>1</v>
      </c>
      <c r="W3" t="s">
        <v>40</v>
      </c>
      <c r="X3">
        <v>72</v>
      </c>
      <c r="Y3">
        <v>8000</v>
      </c>
      <c r="Z3">
        <v>0.59987500000000005</v>
      </c>
      <c r="AA3" t="s">
        <v>41</v>
      </c>
      <c r="AB3" t="s">
        <v>42</v>
      </c>
      <c r="AC3" t="s">
        <v>43</v>
      </c>
    </row>
    <row r="4" spans="1:29" ht="15" customHeight="1">
      <c r="A4" s="2">
        <v>3</v>
      </c>
      <c r="B4" s="2">
        <v>3049</v>
      </c>
      <c r="C4" s="2" t="s">
        <v>29</v>
      </c>
      <c r="D4" s="2" t="s">
        <v>30</v>
      </c>
      <c r="E4" s="2">
        <v>51</v>
      </c>
      <c r="F4" s="2">
        <v>52</v>
      </c>
      <c r="G4" s="2">
        <v>194</v>
      </c>
      <c r="H4" s="2">
        <v>2</v>
      </c>
      <c r="I4" s="2">
        <v>4</v>
      </c>
      <c r="J4" s="2">
        <v>10</v>
      </c>
      <c r="K4" s="2" t="s">
        <v>47</v>
      </c>
      <c r="L4" s="2" t="s">
        <v>32</v>
      </c>
      <c r="M4" s="2"/>
      <c r="N4" s="2" t="s">
        <v>34</v>
      </c>
      <c r="O4" s="2" t="s">
        <v>35</v>
      </c>
      <c r="P4" s="2" t="s">
        <v>36</v>
      </c>
      <c r="Q4" s="5">
        <v>46160.851574074077</v>
      </c>
      <c r="R4" t="s">
        <v>48</v>
      </c>
      <c r="S4" s="6">
        <v>46160</v>
      </c>
      <c r="T4" t="s">
        <v>38</v>
      </c>
      <c r="U4" t="s">
        <v>49</v>
      </c>
      <c r="V4" t="b">
        <v>1</v>
      </c>
      <c r="W4" t="s">
        <v>40</v>
      </c>
      <c r="X4">
        <v>72</v>
      </c>
      <c r="Y4">
        <v>8000</v>
      </c>
      <c r="Z4">
        <v>0.59987500000000005</v>
      </c>
      <c r="AA4" t="s">
        <v>41</v>
      </c>
      <c r="AB4" t="s">
        <v>42</v>
      </c>
      <c r="AC4" t="s">
        <v>43</v>
      </c>
    </row>
    <row r="5" spans="1:29" ht="15" customHeight="1">
      <c r="A5" s="2">
        <v>4</v>
      </c>
      <c r="B5" s="2">
        <v>3050</v>
      </c>
      <c r="C5" s="2" t="s">
        <v>29</v>
      </c>
      <c r="D5" s="2" t="s">
        <v>30</v>
      </c>
      <c r="E5" s="2">
        <v>55</v>
      </c>
      <c r="F5" s="2">
        <v>52</v>
      </c>
      <c r="G5" s="2">
        <v>194</v>
      </c>
      <c r="H5" s="2">
        <v>2</v>
      </c>
      <c r="I5" s="2">
        <v>4</v>
      </c>
      <c r="J5" s="2">
        <v>10</v>
      </c>
      <c r="K5" s="2" t="s">
        <v>50</v>
      </c>
      <c r="L5" s="2" t="s">
        <v>32</v>
      </c>
      <c r="M5" s="2"/>
      <c r="N5" s="2" t="s">
        <v>34</v>
      </c>
      <c r="O5" s="2" t="s">
        <v>35</v>
      </c>
      <c r="P5" s="2" t="s">
        <v>36</v>
      </c>
      <c r="Q5" s="5">
        <v>46160.854386574072</v>
      </c>
      <c r="R5" t="s">
        <v>51</v>
      </c>
      <c r="S5" s="6">
        <v>46160</v>
      </c>
      <c r="T5" t="s">
        <v>38</v>
      </c>
      <c r="U5" t="s">
        <v>52</v>
      </c>
      <c r="V5" t="b">
        <v>1</v>
      </c>
      <c r="W5" t="s">
        <v>40</v>
      </c>
      <c r="X5">
        <v>72</v>
      </c>
      <c r="Y5">
        <v>8000</v>
      </c>
      <c r="Z5">
        <v>0.59987500000000005</v>
      </c>
      <c r="AA5" t="s">
        <v>41</v>
      </c>
      <c r="AB5" t="s">
        <v>42</v>
      </c>
      <c r="AC5" t="s">
        <v>43</v>
      </c>
    </row>
    <row r="6" spans="1:29" ht="15" customHeight="1">
      <c r="A6" s="2">
        <v>5</v>
      </c>
      <c r="B6" s="2">
        <v>3051</v>
      </c>
      <c r="C6" s="2" t="s">
        <v>29</v>
      </c>
      <c r="D6" s="2" t="s">
        <v>30</v>
      </c>
      <c r="E6" s="2">
        <v>59</v>
      </c>
      <c r="F6" s="2">
        <v>52</v>
      </c>
      <c r="G6" s="2">
        <v>194</v>
      </c>
      <c r="H6" s="2">
        <v>2</v>
      </c>
      <c r="I6" s="2">
        <v>4</v>
      </c>
      <c r="J6" s="2">
        <v>10</v>
      </c>
      <c r="K6" s="2" t="s">
        <v>53</v>
      </c>
      <c r="L6" s="2" t="s">
        <v>32</v>
      </c>
      <c r="M6" s="2"/>
      <c r="N6" s="2" t="s">
        <v>34</v>
      </c>
      <c r="O6" s="2" t="s">
        <v>35</v>
      </c>
      <c r="P6" s="2" t="s">
        <v>36</v>
      </c>
      <c r="Q6" s="5">
        <v>46160.856458333343</v>
      </c>
      <c r="R6" t="s">
        <v>54</v>
      </c>
      <c r="S6" s="6">
        <v>46160</v>
      </c>
      <c r="T6" t="s">
        <v>38</v>
      </c>
      <c r="U6" t="s">
        <v>55</v>
      </c>
      <c r="V6" t="b">
        <v>1</v>
      </c>
      <c r="W6" t="s">
        <v>40</v>
      </c>
      <c r="X6">
        <v>72</v>
      </c>
      <c r="Y6">
        <v>8000</v>
      </c>
      <c r="Z6">
        <v>0.59987500000000005</v>
      </c>
      <c r="AA6" t="s">
        <v>41</v>
      </c>
      <c r="AB6" t="s">
        <v>42</v>
      </c>
      <c r="AC6" t="s">
        <v>43</v>
      </c>
    </row>
    <row r="7" spans="1:29" ht="15" customHeight="1">
      <c r="A7" s="2">
        <v>6</v>
      </c>
      <c r="B7" s="2">
        <v>3052</v>
      </c>
      <c r="C7" s="2" t="s">
        <v>29</v>
      </c>
      <c r="D7" s="2" t="s">
        <v>30</v>
      </c>
      <c r="E7" s="2">
        <v>63</v>
      </c>
      <c r="F7" s="2">
        <v>52</v>
      </c>
      <c r="G7" s="2">
        <v>194</v>
      </c>
      <c r="H7" s="2">
        <v>2</v>
      </c>
      <c r="I7" s="2">
        <v>4</v>
      </c>
      <c r="J7" s="2">
        <v>10</v>
      </c>
      <c r="K7" s="2" t="s">
        <v>56</v>
      </c>
      <c r="L7" s="2" t="s">
        <v>32</v>
      </c>
      <c r="M7" s="2"/>
      <c r="N7" s="2" t="s">
        <v>34</v>
      </c>
      <c r="O7" s="2" t="s">
        <v>35</v>
      </c>
      <c r="P7" s="2" t="s">
        <v>36</v>
      </c>
      <c r="Q7" s="5">
        <v>46160.858784722222</v>
      </c>
      <c r="R7" t="s">
        <v>57</v>
      </c>
      <c r="S7" s="6">
        <v>46160</v>
      </c>
      <c r="T7" t="s">
        <v>38</v>
      </c>
      <c r="U7" t="s">
        <v>58</v>
      </c>
      <c r="V7" t="b">
        <v>1</v>
      </c>
      <c r="W7" t="s">
        <v>40</v>
      </c>
      <c r="X7">
        <v>72</v>
      </c>
      <c r="Y7">
        <v>8000</v>
      </c>
      <c r="Z7">
        <v>0.59987500000000005</v>
      </c>
      <c r="AA7" t="s">
        <v>41</v>
      </c>
      <c r="AB7" t="s">
        <v>42</v>
      </c>
      <c r="AC7" t="s">
        <v>43</v>
      </c>
    </row>
    <row r="8" spans="1:29" ht="15" customHeight="1">
      <c r="A8" s="2">
        <v>7</v>
      </c>
      <c r="B8" s="2">
        <v>3053</v>
      </c>
      <c r="C8" s="2" t="s">
        <v>29</v>
      </c>
      <c r="D8" s="2" t="s">
        <v>30</v>
      </c>
      <c r="E8" s="2">
        <v>67</v>
      </c>
      <c r="F8" s="2">
        <v>52</v>
      </c>
      <c r="G8" s="2">
        <v>194</v>
      </c>
      <c r="H8" s="2">
        <v>2</v>
      </c>
      <c r="I8" s="2">
        <v>4</v>
      </c>
      <c r="J8" s="2">
        <v>10</v>
      </c>
      <c r="K8" s="2" t="s">
        <v>31</v>
      </c>
      <c r="L8" s="2" t="s">
        <v>32</v>
      </c>
      <c r="M8" s="2"/>
      <c r="N8" s="2" t="s">
        <v>34</v>
      </c>
      <c r="O8" s="2" t="s">
        <v>35</v>
      </c>
      <c r="P8" s="2" t="s">
        <v>36</v>
      </c>
      <c r="Q8" s="5">
        <v>46160.860891203702</v>
      </c>
      <c r="R8" t="s">
        <v>59</v>
      </c>
      <c r="S8" s="6">
        <v>46160</v>
      </c>
      <c r="T8" t="s">
        <v>38</v>
      </c>
      <c r="U8" t="s">
        <v>60</v>
      </c>
      <c r="V8" t="b">
        <v>1</v>
      </c>
      <c r="W8" t="s">
        <v>40</v>
      </c>
      <c r="X8">
        <v>72</v>
      </c>
      <c r="Y8">
        <v>8000</v>
      </c>
      <c r="Z8">
        <v>0.59987500000000005</v>
      </c>
      <c r="AA8" t="s">
        <v>41</v>
      </c>
      <c r="AB8" t="s">
        <v>42</v>
      </c>
      <c r="AC8" t="s">
        <v>43</v>
      </c>
    </row>
    <row r="9" spans="1:29" ht="15" customHeight="1">
      <c r="A9" s="2">
        <v>8</v>
      </c>
      <c r="B9" s="2">
        <v>3054</v>
      </c>
      <c r="C9" s="2" t="s">
        <v>29</v>
      </c>
      <c r="D9" s="2" t="s">
        <v>30</v>
      </c>
      <c r="E9" s="2">
        <v>71</v>
      </c>
      <c r="F9" s="2">
        <v>52</v>
      </c>
      <c r="G9" s="2">
        <v>194</v>
      </c>
      <c r="H9" s="2">
        <v>2</v>
      </c>
      <c r="I9" s="2">
        <v>4</v>
      </c>
      <c r="J9" s="2">
        <v>10</v>
      </c>
      <c r="K9" s="2" t="s">
        <v>61</v>
      </c>
      <c r="L9" s="2" t="s">
        <v>32</v>
      </c>
      <c r="M9" s="2"/>
      <c r="N9" s="2" t="s">
        <v>34</v>
      </c>
      <c r="O9" s="2" t="s">
        <v>35</v>
      </c>
      <c r="P9" s="2" t="s">
        <v>36</v>
      </c>
      <c r="Q9" s="5">
        <v>46160.862928240742</v>
      </c>
      <c r="R9" t="s">
        <v>62</v>
      </c>
      <c r="S9" s="6">
        <v>46160</v>
      </c>
      <c r="T9" t="s">
        <v>38</v>
      </c>
      <c r="U9" t="s">
        <v>63</v>
      </c>
      <c r="V9" t="b">
        <v>1</v>
      </c>
      <c r="W9" t="s">
        <v>40</v>
      </c>
      <c r="X9">
        <v>72</v>
      </c>
      <c r="Y9">
        <v>8000</v>
      </c>
      <c r="Z9">
        <v>0.59987500000000005</v>
      </c>
      <c r="AA9" t="s">
        <v>41</v>
      </c>
      <c r="AB9" t="s">
        <v>42</v>
      </c>
      <c r="AC9" t="s">
        <v>43</v>
      </c>
    </row>
    <row r="10" spans="1:29" ht="15" customHeight="1">
      <c r="A10" s="2">
        <v>9</v>
      </c>
      <c r="B10" s="2">
        <v>3055</v>
      </c>
      <c r="C10" s="2" t="s">
        <v>29</v>
      </c>
      <c r="D10" s="2" t="s">
        <v>30</v>
      </c>
      <c r="E10" s="2">
        <v>75</v>
      </c>
      <c r="F10" s="2">
        <v>52</v>
      </c>
      <c r="G10" s="2">
        <v>194</v>
      </c>
      <c r="H10" s="2">
        <v>2</v>
      </c>
      <c r="I10" s="2">
        <v>4</v>
      </c>
      <c r="J10" s="2">
        <v>10</v>
      </c>
      <c r="K10" s="2" t="s">
        <v>64</v>
      </c>
      <c r="L10" s="2" t="s">
        <v>32</v>
      </c>
      <c r="M10" s="2" t="s">
        <v>65</v>
      </c>
      <c r="N10" s="2" t="s">
        <v>34</v>
      </c>
      <c r="O10" s="2" t="s">
        <v>35</v>
      </c>
      <c r="P10" s="2" t="s">
        <v>36</v>
      </c>
      <c r="Q10" s="5">
        <v>46160.865937499999</v>
      </c>
      <c r="R10" t="s">
        <v>66</v>
      </c>
      <c r="S10" s="6">
        <v>46160</v>
      </c>
      <c r="T10" t="s">
        <v>38</v>
      </c>
      <c r="U10" t="s">
        <v>67</v>
      </c>
      <c r="V10" t="b">
        <v>1</v>
      </c>
      <c r="W10" t="s">
        <v>40</v>
      </c>
      <c r="X10">
        <v>72</v>
      </c>
      <c r="Y10">
        <v>8000</v>
      </c>
      <c r="Z10">
        <v>0.59987500000000005</v>
      </c>
      <c r="AA10" t="s">
        <v>41</v>
      </c>
      <c r="AB10" t="s">
        <v>42</v>
      </c>
      <c r="AC10" t="s">
        <v>43</v>
      </c>
    </row>
    <row r="11" spans="1:29" ht="15" customHeight="1">
      <c r="A11" s="2">
        <v>10</v>
      </c>
      <c r="B11" s="2">
        <v>3056</v>
      </c>
      <c r="C11" s="2" t="s">
        <v>29</v>
      </c>
      <c r="D11" s="2" t="s">
        <v>30</v>
      </c>
      <c r="E11" s="2">
        <v>79</v>
      </c>
      <c r="F11" s="2">
        <v>52</v>
      </c>
      <c r="G11" s="2">
        <v>194</v>
      </c>
      <c r="H11" s="2">
        <v>2</v>
      </c>
      <c r="I11" s="2">
        <v>4</v>
      </c>
      <c r="J11" s="2">
        <v>10</v>
      </c>
      <c r="K11" s="2" t="s">
        <v>68</v>
      </c>
      <c r="L11" s="2" t="s">
        <v>32</v>
      </c>
      <c r="M11" s="2"/>
      <c r="N11" s="2" t="s">
        <v>34</v>
      </c>
      <c r="O11" s="2" t="s">
        <v>35</v>
      </c>
      <c r="P11" s="2" t="s">
        <v>36</v>
      </c>
      <c r="Q11" s="5">
        <v>46160.867777777778</v>
      </c>
      <c r="R11" t="s">
        <v>69</v>
      </c>
      <c r="S11" s="6">
        <v>46160</v>
      </c>
      <c r="T11" t="s">
        <v>38</v>
      </c>
      <c r="U11" t="s">
        <v>70</v>
      </c>
      <c r="V11" t="b">
        <v>1</v>
      </c>
      <c r="W11" t="s">
        <v>40</v>
      </c>
      <c r="X11">
        <v>72</v>
      </c>
      <c r="Y11">
        <v>8000</v>
      </c>
      <c r="Z11">
        <v>0.59987500000000005</v>
      </c>
      <c r="AA11" t="s">
        <v>41</v>
      </c>
      <c r="AB11" t="s">
        <v>42</v>
      </c>
      <c r="AC11" t="s">
        <v>43</v>
      </c>
    </row>
    <row r="12" spans="1:29" ht="15" customHeight="1">
      <c r="A12" s="2">
        <v>11</v>
      </c>
      <c r="B12" s="2">
        <v>3057</v>
      </c>
      <c r="C12" s="2" t="s">
        <v>29</v>
      </c>
      <c r="D12" s="2" t="s">
        <v>30</v>
      </c>
      <c r="E12" s="2">
        <v>83</v>
      </c>
      <c r="F12" s="2">
        <v>52</v>
      </c>
      <c r="G12" s="2">
        <v>194</v>
      </c>
      <c r="H12" s="2">
        <v>2</v>
      </c>
      <c r="I12" s="2">
        <v>4</v>
      </c>
      <c r="J12" s="2">
        <v>10</v>
      </c>
      <c r="K12" s="2" t="s">
        <v>68</v>
      </c>
      <c r="L12" s="2" t="s">
        <v>32</v>
      </c>
      <c r="M12" s="2"/>
      <c r="N12" s="2" t="s">
        <v>34</v>
      </c>
      <c r="O12" s="2" t="s">
        <v>35</v>
      </c>
      <c r="P12" s="2" t="s">
        <v>36</v>
      </c>
      <c r="Q12" s="5">
        <v>46160.871203703697</v>
      </c>
      <c r="R12" t="s">
        <v>71</v>
      </c>
      <c r="S12" s="6">
        <v>46160</v>
      </c>
      <c r="T12" t="s">
        <v>38</v>
      </c>
      <c r="U12" t="s">
        <v>72</v>
      </c>
      <c r="V12" t="b">
        <v>1</v>
      </c>
      <c r="W12" t="s">
        <v>40</v>
      </c>
      <c r="X12">
        <v>72</v>
      </c>
      <c r="Y12">
        <v>8000</v>
      </c>
      <c r="Z12">
        <v>0.59987500000000005</v>
      </c>
      <c r="AA12" t="s">
        <v>41</v>
      </c>
      <c r="AB12" t="s">
        <v>42</v>
      </c>
      <c r="AC12" t="s">
        <v>43</v>
      </c>
    </row>
    <row r="13" spans="1:29" ht="15" customHeight="1">
      <c r="A13" s="2">
        <v>12</v>
      </c>
      <c r="B13" s="2">
        <v>3058</v>
      </c>
      <c r="C13" s="2" t="s">
        <v>29</v>
      </c>
      <c r="D13" s="2" t="s">
        <v>30</v>
      </c>
      <c r="E13" s="2">
        <v>87</v>
      </c>
      <c r="F13" s="2">
        <v>52</v>
      </c>
      <c r="G13" s="2">
        <v>194</v>
      </c>
      <c r="H13" s="2">
        <v>2</v>
      </c>
      <c r="I13" s="2">
        <v>4</v>
      </c>
      <c r="J13" s="2">
        <v>10</v>
      </c>
      <c r="K13" s="2" t="s">
        <v>61</v>
      </c>
      <c r="L13" s="2" t="s">
        <v>32</v>
      </c>
      <c r="M13" s="2"/>
      <c r="N13" s="2" t="s">
        <v>34</v>
      </c>
      <c r="O13" s="2" t="s">
        <v>35</v>
      </c>
      <c r="P13" s="2" t="s">
        <v>36</v>
      </c>
      <c r="Q13" s="5">
        <v>46160.874201388891</v>
      </c>
      <c r="R13" t="s">
        <v>73</v>
      </c>
      <c r="S13" s="6">
        <v>46160</v>
      </c>
      <c r="T13" t="s">
        <v>38</v>
      </c>
      <c r="U13" t="s">
        <v>74</v>
      </c>
      <c r="V13" t="b">
        <v>1</v>
      </c>
      <c r="W13" t="s">
        <v>40</v>
      </c>
      <c r="X13">
        <v>72</v>
      </c>
      <c r="Y13">
        <v>8000</v>
      </c>
      <c r="Z13">
        <v>0.59987500000000005</v>
      </c>
      <c r="AA13" t="s">
        <v>41</v>
      </c>
      <c r="AB13" t="s">
        <v>42</v>
      </c>
      <c r="AC13" t="s">
        <v>43</v>
      </c>
    </row>
    <row r="14" spans="1:29" ht="15" customHeight="1">
      <c r="A14" s="2">
        <v>13</v>
      </c>
      <c r="B14" s="2">
        <v>3059</v>
      </c>
      <c r="C14" s="2" t="s">
        <v>29</v>
      </c>
      <c r="D14" s="2" t="s">
        <v>30</v>
      </c>
      <c r="E14" s="2">
        <v>91</v>
      </c>
      <c r="F14" s="2">
        <v>52</v>
      </c>
      <c r="G14" s="2">
        <v>194</v>
      </c>
      <c r="H14" s="2">
        <v>2</v>
      </c>
      <c r="I14" s="2">
        <v>4</v>
      </c>
      <c r="J14" s="2">
        <v>11</v>
      </c>
      <c r="K14" s="2" t="s">
        <v>31</v>
      </c>
      <c r="L14" s="2" t="s">
        <v>32</v>
      </c>
      <c r="M14" s="2" t="s">
        <v>75</v>
      </c>
      <c r="N14" s="2" t="s">
        <v>34</v>
      </c>
      <c r="O14" s="2" t="s">
        <v>35</v>
      </c>
      <c r="P14" s="2" t="s">
        <v>36</v>
      </c>
      <c r="Q14" s="5">
        <v>46160.876736111109</v>
      </c>
      <c r="R14" t="s">
        <v>76</v>
      </c>
      <c r="S14" s="6">
        <v>46160</v>
      </c>
      <c r="T14" t="s">
        <v>38</v>
      </c>
      <c r="U14" t="s">
        <v>77</v>
      </c>
      <c r="V14" t="b">
        <v>1</v>
      </c>
      <c r="W14" t="s">
        <v>40</v>
      </c>
      <c r="X14">
        <v>72</v>
      </c>
      <c r="Y14">
        <v>8000</v>
      </c>
      <c r="Z14">
        <v>0.59987500000000005</v>
      </c>
      <c r="AA14" t="s">
        <v>41</v>
      </c>
      <c r="AB14" t="s">
        <v>42</v>
      </c>
      <c r="AC14" t="s">
        <v>43</v>
      </c>
    </row>
    <row r="15" spans="1:29" ht="15" customHeight="1">
      <c r="A15" s="2">
        <v>14</v>
      </c>
      <c r="B15" s="2">
        <v>3060</v>
      </c>
      <c r="C15" s="2" t="s">
        <v>29</v>
      </c>
      <c r="D15" s="2" t="s">
        <v>30</v>
      </c>
      <c r="E15" s="2">
        <v>95</v>
      </c>
      <c r="F15" s="2">
        <v>52</v>
      </c>
      <c r="G15" s="2">
        <v>194</v>
      </c>
      <c r="H15" s="2">
        <v>2</v>
      </c>
      <c r="I15" s="2">
        <v>4</v>
      </c>
      <c r="J15" s="2">
        <v>10</v>
      </c>
      <c r="K15" s="2" t="s">
        <v>68</v>
      </c>
      <c r="L15" s="2" t="s">
        <v>32</v>
      </c>
      <c r="M15" s="2"/>
      <c r="N15" s="2" t="s">
        <v>34</v>
      </c>
      <c r="O15" s="2" t="s">
        <v>35</v>
      </c>
      <c r="P15" s="2" t="s">
        <v>36</v>
      </c>
      <c r="Q15" s="5">
        <v>46160.878437500003</v>
      </c>
      <c r="R15" t="s">
        <v>78</v>
      </c>
      <c r="S15" s="6">
        <v>46160</v>
      </c>
      <c r="T15" t="s">
        <v>38</v>
      </c>
      <c r="U15" t="s">
        <v>79</v>
      </c>
      <c r="V15" t="b">
        <v>1</v>
      </c>
      <c r="W15" t="s">
        <v>40</v>
      </c>
      <c r="X15">
        <v>72</v>
      </c>
      <c r="Y15">
        <v>8000</v>
      </c>
      <c r="Z15">
        <v>0.59987500000000005</v>
      </c>
      <c r="AA15" t="s">
        <v>41</v>
      </c>
      <c r="AB15" t="s">
        <v>42</v>
      </c>
      <c r="AC15" t="s">
        <v>43</v>
      </c>
    </row>
    <row r="16" spans="1:29" ht="15" customHeight="1">
      <c r="A16" s="2">
        <v>15</v>
      </c>
      <c r="B16" s="2">
        <v>3061</v>
      </c>
      <c r="C16" s="2" t="s">
        <v>29</v>
      </c>
      <c r="D16" s="2" t="s">
        <v>30</v>
      </c>
      <c r="E16" s="2">
        <v>99</v>
      </c>
      <c r="F16" s="2">
        <v>52</v>
      </c>
      <c r="G16" s="2">
        <v>194</v>
      </c>
      <c r="H16" s="2">
        <v>2</v>
      </c>
      <c r="I16" s="2">
        <v>4</v>
      </c>
      <c r="J16" s="2">
        <v>10</v>
      </c>
      <c r="K16" s="2" t="s">
        <v>31</v>
      </c>
      <c r="L16" s="2" t="s">
        <v>32</v>
      </c>
      <c r="M16" s="2"/>
      <c r="N16" s="2" t="s">
        <v>34</v>
      </c>
      <c r="O16" s="2" t="s">
        <v>35</v>
      </c>
      <c r="P16" s="2" t="s">
        <v>36</v>
      </c>
      <c r="Q16" s="5">
        <v>46160.880196759259</v>
      </c>
      <c r="R16" t="s">
        <v>80</v>
      </c>
      <c r="S16" s="6">
        <v>46160</v>
      </c>
      <c r="T16" t="s">
        <v>38</v>
      </c>
      <c r="U16" t="s">
        <v>81</v>
      </c>
      <c r="V16" t="b">
        <v>1</v>
      </c>
      <c r="W16" t="s">
        <v>40</v>
      </c>
      <c r="X16">
        <v>72</v>
      </c>
      <c r="Y16">
        <v>8000</v>
      </c>
      <c r="Z16">
        <v>0.59987500000000005</v>
      </c>
      <c r="AA16" t="s">
        <v>41</v>
      </c>
      <c r="AB16" t="s">
        <v>42</v>
      </c>
      <c r="AC16" t="s">
        <v>43</v>
      </c>
    </row>
    <row r="17" spans="1:29" ht="15" customHeight="1">
      <c r="A17" s="2">
        <v>16</v>
      </c>
      <c r="B17" s="2">
        <v>3062</v>
      </c>
      <c r="C17" s="2" t="s">
        <v>29</v>
      </c>
      <c r="D17" s="2" t="s">
        <v>30</v>
      </c>
      <c r="E17" s="2">
        <v>103</v>
      </c>
      <c r="F17" s="2">
        <v>52</v>
      </c>
      <c r="G17" s="2">
        <v>194</v>
      </c>
      <c r="H17" s="2">
        <v>2</v>
      </c>
      <c r="I17" s="2">
        <v>4</v>
      </c>
      <c r="J17" s="2">
        <v>10</v>
      </c>
      <c r="K17" s="2" t="s">
        <v>68</v>
      </c>
      <c r="L17" s="2" t="s">
        <v>32</v>
      </c>
      <c r="M17" s="2"/>
      <c r="N17" s="2" t="s">
        <v>34</v>
      </c>
      <c r="O17" s="2" t="s">
        <v>35</v>
      </c>
      <c r="P17" s="2" t="s">
        <v>36</v>
      </c>
      <c r="Q17" s="5">
        <v>46160.882511574076</v>
      </c>
      <c r="R17" t="s">
        <v>82</v>
      </c>
      <c r="S17" s="6">
        <v>46160</v>
      </c>
      <c r="T17" t="s">
        <v>38</v>
      </c>
      <c r="U17" t="s">
        <v>83</v>
      </c>
      <c r="V17" t="b">
        <v>1</v>
      </c>
      <c r="W17" t="s">
        <v>40</v>
      </c>
      <c r="X17">
        <v>72</v>
      </c>
      <c r="Y17">
        <v>8000</v>
      </c>
      <c r="Z17">
        <v>0.59987500000000005</v>
      </c>
      <c r="AA17" t="s">
        <v>41</v>
      </c>
      <c r="AB17" t="s">
        <v>42</v>
      </c>
      <c r="AC17" t="s">
        <v>43</v>
      </c>
    </row>
    <row r="18" spans="1:29" ht="15" customHeight="1">
      <c r="A18" s="2">
        <v>17</v>
      </c>
      <c r="B18" s="2">
        <v>3063</v>
      </c>
      <c r="C18" s="2" t="s">
        <v>29</v>
      </c>
      <c r="D18" s="2" t="s">
        <v>30</v>
      </c>
      <c r="E18" s="2">
        <v>107</v>
      </c>
      <c r="F18" s="2">
        <v>52</v>
      </c>
      <c r="G18" s="2">
        <v>194</v>
      </c>
      <c r="H18" s="2">
        <v>2</v>
      </c>
      <c r="I18" s="2">
        <v>4</v>
      </c>
      <c r="J18" s="2">
        <v>10</v>
      </c>
      <c r="K18" s="2" t="s">
        <v>31</v>
      </c>
      <c r="L18" s="2" t="s">
        <v>32</v>
      </c>
      <c r="M18" s="2"/>
      <c r="N18" s="2" t="s">
        <v>34</v>
      </c>
      <c r="O18" s="2" t="s">
        <v>35</v>
      </c>
      <c r="P18" s="2" t="s">
        <v>36</v>
      </c>
      <c r="Q18" s="5">
        <v>46160.884259259263</v>
      </c>
      <c r="R18" t="s">
        <v>84</v>
      </c>
      <c r="S18" s="6">
        <v>46160</v>
      </c>
      <c r="T18" t="s">
        <v>38</v>
      </c>
      <c r="U18" t="s">
        <v>85</v>
      </c>
      <c r="V18" t="b">
        <v>1</v>
      </c>
      <c r="W18" t="s">
        <v>40</v>
      </c>
      <c r="X18">
        <v>72</v>
      </c>
      <c r="Y18">
        <v>8000</v>
      </c>
      <c r="Z18">
        <v>0.59987500000000005</v>
      </c>
      <c r="AA18" t="s">
        <v>41</v>
      </c>
      <c r="AB18" t="s">
        <v>42</v>
      </c>
      <c r="AC18" t="s">
        <v>43</v>
      </c>
    </row>
    <row r="19" spans="1:29" ht="15" customHeight="1">
      <c r="A19" s="2">
        <v>18</v>
      </c>
      <c r="B19" s="2">
        <v>3064</v>
      </c>
      <c r="C19" s="2" t="s">
        <v>29</v>
      </c>
      <c r="D19" s="2" t="s">
        <v>30</v>
      </c>
      <c r="E19" s="2">
        <v>111</v>
      </c>
      <c r="F19" s="2">
        <v>52</v>
      </c>
      <c r="G19" s="2">
        <v>194</v>
      </c>
      <c r="H19" s="2">
        <v>2</v>
      </c>
      <c r="I19" s="2">
        <v>4</v>
      </c>
      <c r="J19" s="2">
        <v>10</v>
      </c>
      <c r="K19" s="2" t="s">
        <v>50</v>
      </c>
      <c r="L19" s="2" t="s">
        <v>32</v>
      </c>
      <c r="M19" s="2"/>
      <c r="N19" s="2" t="s">
        <v>34</v>
      </c>
      <c r="O19" s="2" t="s">
        <v>35</v>
      </c>
      <c r="P19" s="2" t="s">
        <v>36</v>
      </c>
      <c r="Q19" s="5">
        <v>46160.886145833327</v>
      </c>
      <c r="R19" t="s">
        <v>86</v>
      </c>
      <c r="S19" s="6">
        <v>46160</v>
      </c>
      <c r="T19" t="s">
        <v>38</v>
      </c>
      <c r="U19" t="s">
        <v>87</v>
      </c>
      <c r="V19" t="b">
        <v>1</v>
      </c>
      <c r="W19" t="s">
        <v>40</v>
      </c>
      <c r="X19">
        <v>72</v>
      </c>
      <c r="Y19">
        <v>8000</v>
      </c>
      <c r="Z19">
        <v>0.59987500000000005</v>
      </c>
      <c r="AA19" t="s">
        <v>41</v>
      </c>
      <c r="AB19" t="s">
        <v>42</v>
      </c>
      <c r="AC19" t="s">
        <v>43</v>
      </c>
    </row>
    <row r="20" spans="1:29" ht="15" customHeight="1">
      <c r="A20" s="2">
        <v>19</v>
      </c>
      <c r="B20" s="2">
        <v>3065</v>
      </c>
      <c r="C20" s="2" t="s">
        <v>29</v>
      </c>
      <c r="D20" s="2" t="s">
        <v>30</v>
      </c>
      <c r="E20" s="2">
        <v>115</v>
      </c>
      <c r="F20" s="2">
        <v>52</v>
      </c>
      <c r="G20" s="2">
        <v>194</v>
      </c>
      <c r="H20" s="2">
        <v>2</v>
      </c>
      <c r="I20" s="2">
        <v>4</v>
      </c>
      <c r="J20" s="2">
        <v>10</v>
      </c>
      <c r="K20" s="2" t="s">
        <v>68</v>
      </c>
      <c r="L20" s="2" t="s">
        <v>32</v>
      </c>
      <c r="M20" s="2"/>
      <c r="N20" s="2" t="s">
        <v>34</v>
      </c>
      <c r="O20" s="2" t="s">
        <v>35</v>
      </c>
      <c r="P20" s="2" t="s">
        <v>36</v>
      </c>
      <c r="Q20" s="5">
        <v>46160.887627314813</v>
      </c>
      <c r="R20" t="s">
        <v>88</v>
      </c>
      <c r="S20" s="6">
        <v>46160</v>
      </c>
      <c r="T20" t="s">
        <v>38</v>
      </c>
      <c r="U20" t="s">
        <v>89</v>
      </c>
      <c r="V20" t="b">
        <v>1</v>
      </c>
      <c r="W20" t="s">
        <v>40</v>
      </c>
      <c r="X20">
        <v>72</v>
      </c>
      <c r="Y20">
        <v>8000</v>
      </c>
      <c r="Z20">
        <v>0.59987500000000005</v>
      </c>
      <c r="AA20" t="s">
        <v>41</v>
      </c>
      <c r="AB20" t="s">
        <v>42</v>
      </c>
      <c r="AC20" t="s">
        <v>43</v>
      </c>
    </row>
    <row r="21" spans="1:29" ht="15" customHeight="1">
      <c r="A21" s="2">
        <v>20</v>
      </c>
      <c r="B21" s="2">
        <v>3066</v>
      </c>
      <c r="C21" s="2" t="s">
        <v>29</v>
      </c>
      <c r="D21" s="2" t="s">
        <v>30</v>
      </c>
      <c r="E21" s="2">
        <v>119</v>
      </c>
      <c r="F21" s="2">
        <v>52</v>
      </c>
      <c r="G21" s="2">
        <v>194</v>
      </c>
      <c r="H21" s="2">
        <v>2</v>
      </c>
      <c r="I21" s="2">
        <v>4</v>
      </c>
      <c r="J21" s="2">
        <v>10</v>
      </c>
      <c r="K21" s="2" t="s">
        <v>31</v>
      </c>
      <c r="L21" s="2" t="s">
        <v>32</v>
      </c>
      <c r="M21" s="2"/>
      <c r="N21" s="2" t="s">
        <v>34</v>
      </c>
      <c r="O21" s="2" t="s">
        <v>35</v>
      </c>
      <c r="P21" s="2" t="s">
        <v>36</v>
      </c>
      <c r="Q21" s="5">
        <v>46160.889305555553</v>
      </c>
      <c r="R21" t="s">
        <v>90</v>
      </c>
      <c r="S21" s="6">
        <v>46160</v>
      </c>
      <c r="T21" t="s">
        <v>38</v>
      </c>
      <c r="U21" t="s">
        <v>91</v>
      </c>
      <c r="V21" t="b">
        <v>1</v>
      </c>
      <c r="W21" t="s">
        <v>40</v>
      </c>
      <c r="X21">
        <v>72</v>
      </c>
      <c r="Y21">
        <v>8000</v>
      </c>
      <c r="Z21">
        <v>0.59987500000000005</v>
      </c>
      <c r="AA21" t="s">
        <v>41</v>
      </c>
      <c r="AB21" t="s">
        <v>42</v>
      </c>
      <c r="AC21" t="s">
        <v>43</v>
      </c>
    </row>
    <row r="22" spans="1:29" ht="15" customHeight="1">
      <c r="A22" s="2">
        <v>21</v>
      </c>
      <c r="B22" s="2">
        <v>3067</v>
      </c>
      <c r="C22" s="2" t="s">
        <v>29</v>
      </c>
      <c r="D22" s="2" t="s">
        <v>30</v>
      </c>
      <c r="E22" s="2">
        <v>123</v>
      </c>
      <c r="F22" s="2">
        <v>52</v>
      </c>
      <c r="G22" s="2">
        <v>194</v>
      </c>
      <c r="H22" s="2">
        <v>2</v>
      </c>
      <c r="I22" s="2">
        <v>4</v>
      </c>
      <c r="J22" s="2">
        <v>10</v>
      </c>
      <c r="K22" s="2" t="s">
        <v>92</v>
      </c>
      <c r="L22" s="2" t="s">
        <v>32</v>
      </c>
      <c r="M22" s="2"/>
      <c r="N22" s="2" t="s">
        <v>34</v>
      </c>
      <c r="O22" s="2" t="s">
        <v>35</v>
      </c>
      <c r="P22" s="2" t="s">
        <v>36</v>
      </c>
      <c r="Q22" s="5">
        <v>46160.895266203697</v>
      </c>
      <c r="R22" t="s">
        <v>93</v>
      </c>
      <c r="S22" s="6">
        <v>46160</v>
      </c>
      <c r="T22" t="s">
        <v>38</v>
      </c>
      <c r="U22" t="s">
        <v>94</v>
      </c>
      <c r="V22" t="b">
        <v>1</v>
      </c>
      <c r="W22" t="s">
        <v>40</v>
      </c>
      <c r="X22">
        <v>72</v>
      </c>
      <c r="Y22">
        <v>8000</v>
      </c>
      <c r="Z22">
        <v>0.59987500000000005</v>
      </c>
      <c r="AA22" t="s">
        <v>41</v>
      </c>
      <c r="AB22" t="s">
        <v>42</v>
      </c>
      <c r="AC22" t="s">
        <v>43</v>
      </c>
    </row>
    <row r="23" spans="1:29" ht="15" customHeight="1">
      <c r="A23" s="2">
        <v>22</v>
      </c>
      <c r="B23" s="2">
        <v>3068</v>
      </c>
      <c r="C23" s="2" t="s">
        <v>29</v>
      </c>
      <c r="D23" s="2" t="s">
        <v>30</v>
      </c>
      <c r="E23" s="2">
        <v>127</v>
      </c>
      <c r="F23" s="2">
        <v>52</v>
      </c>
      <c r="G23" s="2">
        <v>194</v>
      </c>
      <c r="H23" s="2">
        <v>2</v>
      </c>
      <c r="I23" s="2">
        <v>4</v>
      </c>
      <c r="J23" s="2">
        <v>10</v>
      </c>
      <c r="K23" s="2" t="s">
        <v>92</v>
      </c>
      <c r="L23" s="2" t="s">
        <v>32</v>
      </c>
      <c r="M23" s="2"/>
      <c r="N23" s="2" t="s">
        <v>34</v>
      </c>
      <c r="O23" s="2" t="s">
        <v>35</v>
      </c>
      <c r="P23" s="2" t="s">
        <v>36</v>
      </c>
      <c r="Q23" s="5">
        <v>46160.897685185177</v>
      </c>
      <c r="R23" t="s">
        <v>95</v>
      </c>
      <c r="S23" s="6">
        <v>46160</v>
      </c>
      <c r="T23" t="s">
        <v>38</v>
      </c>
      <c r="U23" t="s">
        <v>96</v>
      </c>
      <c r="V23" t="b">
        <v>1</v>
      </c>
      <c r="W23" t="s">
        <v>40</v>
      </c>
      <c r="X23">
        <v>72</v>
      </c>
      <c r="Y23">
        <v>8000</v>
      </c>
      <c r="Z23">
        <v>0.59987500000000005</v>
      </c>
      <c r="AA23" t="s">
        <v>41</v>
      </c>
      <c r="AB23" t="s">
        <v>42</v>
      </c>
      <c r="AC23" t="s">
        <v>43</v>
      </c>
    </row>
    <row r="24" spans="1:29" ht="15" customHeight="1">
      <c r="A24" s="2">
        <v>23</v>
      </c>
      <c r="B24" s="2">
        <v>3069</v>
      </c>
      <c r="C24" s="2" t="s">
        <v>29</v>
      </c>
      <c r="D24" s="2" t="s">
        <v>30</v>
      </c>
      <c r="E24" s="2">
        <v>131</v>
      </c>
      <c r="F24" s="2">
        <v>52</v>
      </c>
      <c r="G24" s="2">
        <v>194</v>
      </c>
      <c r="H24" s="2">
        <v>2</v>
      </c>
      <c r="I24" s="2">
        <v>4</v>
      </c>
      <c r="J24" s="2">
        <v>11</v>
      </c>
      <c r="K24" s="2" t="s">
        <v>44</v>
      </c>
      <c r="L24" s="2" t="s">
        <v>32</v>
      </c>
      <c r="M24" s="2" t="s">
        <v>75</v>
      </c>
      <c r="N24" s="2" t="s">
        <v>34</v>
      </c>
      <c r="O24" s="2" t="s">
        <v>35</v>
      </c>
      <c r="P24" s="2" t="s">
        <v>36</v>
      </c>
      <c r="Q24" s="5">
        <v>46160.90047453704</v>
      </c>
      <c r="R24" t="s">
        <v>97</v>
      </c>
      <c r="S24" s="6">
        <v>46160</v>
      </c>
      <c r="T24" t="s">
        <v>38</v>
      </c>
      <c r="U24" t="s">
        <v>98</v>
      </c>
      <c r="V24" t="b">
        <v>1</v>
      </c>
      <c r="W24" t="s">
        <v>40</v>
      </c>
      <c r="X24">
        <v>72</v>
      </c>
      <c r="Y24">
        <v>8000</v>
      </c>
      <c r="Z24">
        <v>0.59987500000000005</v>
      </c>
      <c r="AA24" t="s">
        <v>41</v>
      </c>
      <c r="AB24" t="s">
        <v>42</v>
      </c>
      <c r="AC24" t="s">
        <v>43</v>
      </c>
    </row>
    <row r="25" spans="1:29" ht="15" customHeight="1">
      <c r="A25" s="2">
        <v>24</v>
      </c>
      <c r="B25" s="2">
        <v>3070</v>
      </c>
      <c r="C25" s="2" t="s">
        <v>29</v>
      </c>
      <c r="D25" s="2" t="s">
        <v>30</v>
      </c>
      <c r="E25" s="2">
        <v>135</v>
      </c>
      <c r="F25" s="2">
        <v>52</v>
      </c>
      <c r="G25" s="2">
        <v>194</v>
      </c>
      <c r="H25" s="2">
        <v>2</v>
      </c>
      <c r="I25" s="2">
        <v>4</v>
      </c>
      <c r="J25" s="2">
        <v>10</v>
      </c>
      <c r="K25" s="2" t="s">
        <v>68</v>
      </c>
      <c r="L25" s="2" t="s">
        <v>32</v>
      </c>
      <c r="M25" s="2"/>
      <c r="N25" s="2" t="s">
        <v>34</v>
      </c>
      <c r="O25" s="2" t="s">
        <v>35</v>
      </c>
      <c r="P25" s="2" t="s">
        <v>36</v>
      </c>
      <c r="Q25" s="5">
        <v>46160.90216435185</v>
      </c>
      <c r="R25" t="s">
        <v>99</v>
      </c>
      <c r="S25" s="6">
        <v>46160</v>
      </c>
      <c r="T25" t="s">
        <v>38</v>
      </c>
      <c r="U25" t="s">
        <v>100</v>
      </c>
      <c r="V25" t="b">
        <v>1</v>
      </c>
      <c r="W25" t="s">
        <v>40</v>
      </c>
      <c r="X25">
        <v>72</v>
      </c>
      <c r="Y25">
        <v>8000</v>
      </c>
      <c r="Z25">
        <v>0.59987500000000005</v>
      </c>
      <c r="AA25" t="s">
        <v>41</v>
      </c>
      <c r="AB25" t="s">
        <v>42</v>
      </c>
      <c r="AC25" t="s">
        <v>43</v>
      </c>
    </row>
    <row r="26" spans="1:29" ht="15" customHeight="1">
      <c r="A26" s="2">
        <v>25</v>
      </c>
      <c r="B26" s="2">
        <v>3071</v>
      </c>
      <c r="C26" s="2" t="s">
        <v>29</v>
      </c>
      <c r="D26" s="2" t="s">
        <v>30</v>
      </c>
      <c r="E26" s="2">
        <v>139</v>
      </c>
      <c r="F26" s="2">
        <v>52</v>
      </c>
      <c r="G26" s="2">
        <v>194</v>
      </c>
      <c r="H26" s="2">
        <v>2</v>
      </c>
      <c r="I26" s="2">
        <v>4</v>
      </c>
      <c r="J26" s="2">
        <v>12</v>
      </c>
      <c r="K26" s="2" t="s">
        <v>50</v>
      </c>
      <c r="L26" s="2" t="s">
        <v>32</v>
      </c>
      <c r="M26" s="2" t="s">
        <v>101</v>
      </c>
      <c r="N26" s="2" t="s">
        <v>34</v>
      </c>
      <c r="O26" s="2" t="s">
        <v>35</v>
      </c>
      <c r="P26" s="2" t="s">
        <v>36</v>
      </c>
      <c r="Q26" s="5">
        <v>46160.905439814807</v>
      </c>
      <c r="R26" t="s">
        <v>102</v>
      </c>
      <c r="S26" s="6">
        <v>46160</v>
      </c>
      <c r="T26" t="s">
        <v>38</v>
      </c>
      <c r="U26" t="s">
        <v>103</v>
      </c>
      <c r="V26" t="b">
        <v>1</v>
      </c>
      <c r="W26" t="s">
        <v>40</v>
      </c>
      <c r="X26">
        <v>72</v>
      </c>
      <c r="Y26">
        <v>8000</v>
      </c>
      <c r="Z26">
        <v>0.59987500000000005</v>
      </c>
      <c r="AA26" t="s">
        <v>41</v>
      </c>
      <c r="AB26" t="s">
        <v>42</v>
      </c>
      <c r="AC26" t="s">
        <v>43</v>
      </c>
    </row>
    <row r="27" spans="1:29" ht="15" customHeight="1">
      <c r="A27" s="2">
        <v>26</v>
      </c>
      <c r="B27" s="2">
        <v>3072</v>
      </c>
      <c r="C27" s="2" t="s">
        <v>29</v>
      </c>
      <c r="D27" s="2" t="s">
        <v>30</v>
      </c>
      <c r="E27" s="2">
        <v>143</v>
      </c>
      <c r="F27" s="2">
        <v>52</v>
      </c>
      <c r="G27" s="2">
        <v>194</v>
      </c>
      <c r="H27" s="2">
        <v>2</v>
      </c>
      <c r="I27" s="2">
        <v>4</v>
      </c>
      <c r="J27" s="2">
        <v>10</v>
      </c>
      <c r="K27" s="2" t="s">
        <v>104</v>
      </c>
      <c r="L27" s="2" t="s">
        <v>32</v>
      </c>
      <c r="M27" s="2"/>
      <c r="N27" s="2" t="s">
        <v>34</v>
      </c>
      <c r="O27" s="2" t="s">
        <v>35</v>
      </c>
      <c r="P27" s="2" t="s">
        <v>36</v>
      </c>
      <c r="Q27" s="5">
        <v>46160.908773148149</v>
      </c>
      <c r="R27" t="s">
        <v>105</v>
      </c>
      <c r="S27" s="6">
        <v>46160</v>
      </c>
      <c r="T27" t="s">
        <v>38</v>
      </c>
      <c r="U27" t="s">
        <v>106</v>
      </c>
      <c r="V27" t="b">
        <v>1</v>
      </c>
      <c r="W27" t="s">
        <v>40</v>
      </c>
      <c r="X27">
        <v>72</v>
      </c>
      <c r="Y27">
        <v>8000</v>
      </c>
      <c r="Z27">
        <v>0.59987500000000005</v>
      </c>
      <c r="AA27" t="s">
        <v>41</v>
      </c>
      <c r="AB27" t="s">
        <v>42</v>
      </c>
      <c r="AC27" t="s">
        <v>43</v>
      </c>
    </row>
    <row r="28" spans="1:29" ht="15" customHeight="1">
      <c r="A28" s="2">
        <v>27</v>
      </c>
      <c r="B28" s="2">
        <v>3073</v>
      </c>
      <c r="C28" s="2" t="s">
        <v>29</v>
      </c>
      <c r="D28" s="2" t="s">
        <v>30</v>
      </c>
      <c r="E28" s="2">
        <v>147</v>
      </c>
      <c r="F28" s="2">
        <v>52</v>
      </c>
      <c r="G28" s="2">
        <v>194</v>
      </c>
      <c r="H28" s="2">
        <v>2</v>
      </c>
      <c r="I28" s="2">
        <v>4</v>
      </c>
      <c r="J28" s="2">
        <v>11</v>
      </c>
      <c r="K28" s="2" t="s">
        <v>31</v>
      </c>
      <c r="L28" s="2" t="s">
        <v>32</v>
      </c>
      <c r="M28" s="2" t="s">
        <v>75</v>
      </c>
      <c r="N28" s="2" t="s">
        <v>34</v>
      </c>
      <c r="O28" s="2" t="s">
        <v>35</v>
      </c>
      <c r="P28" s="2" t="s">
        <v>36</v>
      </c>
      <c r="Q28" s="5">
        <v>46160.910856481481</v>
      </c>
      <c r="R28" t="s">
        <v>107</v>
      </c>
      <c r="S28" s="6">
        <v>46160</v>
      </c>
      <c r="T28" t="s">
        <v>38</v>
      </c>
      <c r="U28" t="s">
        <v>108</v>
      </c>
      <c r="V28" t="b">
        <v>1</v>
      </c>
      <c r="W28" t="s">
        <v>40</v>
      </c>
      <c r="X28">
        <v>72</v>
      </c>
      <c r="Y28">
        <v>8000</v>
      </c>
      <c r="Z28">
        <v>0.59987500000000005</v>
      </c>
      <c r="AA28" t="s">
        <v>41</v>
      </c>
      <c r="AB28" t="s">
        <v>42</v>
      </c>
      <c r="AC28" t="s">
        <v>43</v>
      </c>
    </row>
    <row r="29" spans="1:29" ht="15" customHeight="1">
      <c r="A29" s="2">
        <v>28</v>
      </c>
      <c r="B29" s="2">
        <v>3074</v>
      </c>
      <c r="C29" s="2" t="s">
        <v>29</v>
      </c>
      <c r="D29" s="2" t="s">
        <v>30</v>
      </c>
      <c r="E29" s="2">
        <v>151</v>
      </c>
      <c r="F29" s="2">
        <v>52</v>
      </c>
      <c r="G29" s="2">
        <v>194</v>
      </c>
      <c r="H29" s="2">
        <v>2</v>
      </c>
      <c r="I29" s="2">
        <v>4</v>
      </c>
      <c r="J29" s="2">
        <v>10</v>
      </c>
      <c r="K29" s="2" t="s">
        <v>92</v>
      </c>
      <c r="L29" s="2" t="s">
        <v>32</v>
      </c>
      <c r="M29" s="2"/>
      <c r="N29" s="2" t="s">
        <v>34</v>
      </c>
      <c r="O29" s="2" t="s">
        <v>35</v>
      </c>
      <c r="P29" s="2" t="s">
        <v>36</v>
      </c>
      <c r="Q29" s="5">
        <v>46160.912662037037</v>
      </c>
      <c r="R29" t="s">
        <v>109</v>
      </c>
      <c r="S29" s="6">
        <v>46160</v>
      </c>
      <c r="T29" t="s">
        <v>38</v>
      </c>
      <c r="U29" t="s">
        <v>110</v>
      </c>
      <c r="V29" t="b">
        <v>1</v>
      </c>
      <c r="W29" t="s">
        <v>40</v>
      </c>
      <c r="X29">
        <v>72</v>
      </c>
      <c r="Y29">
        <v>8000</v>
      </c>
      <c r="Z29">
        <v>0.59987500000000005</v>
      </c>
      <c r="AA29" t="s">
        <v>41</v>
      </c>
      <c r="AB29" t="s">
        <v>42</v>
      </c>
      <c r="AC29" t="s">
        <v>43</v>
      </c>
    </row>
    <row r="30" spans="1:29" ht="15" customHeight="1">
      <c r="A30" s="2">
        <v>29</v>
      </c>
      <c r="B30" s="2">
        <v>3075</v>
      </c>
      <c r="C30" s="2" t="s">
        <v>29</v>
      </c>
      <c r="D30" s="2" t="s">
        <v>30</v>
      </c>
      <c r="E30" s="2">
        <v>155</v>
      </c>
      <c r="F30" s="2">
        <v>52</v>
      </c>
      <c r="G30" s="2">
        <v>194</v>
      </c>
      <c r="H30" s="2">
        <v>2</v>
      </c>
      <c r="I30" s="2">
        <v>4</v>
      </c>
      <c r="J30" s="2">
        <v>10</v>
      </c>
      <c r="K30" s="2" t="s">
        <v>68</v>
      </c>
      <c r="L30" s="2" t="s">
        <v>32</v>
      </c>
      <c r="M30" s="2"/>
      <c r="N30" s="2" t="s">
        <v>34</v>
      </c>
      <c r="O30" s="2" t="s">
        <v>35</v>
      </c>
      <c r="P30" s="2" t="s">
        <v>36</v>
      </c>
      <c r="Q30" s="5">
        <v>46160.915532407409</v>
      </c>
      <c r="R30" t="s">
        <v>111</v>
      </c>
      <c r="S30" s="6">
        <v>46160</v>
      </c>
      <c r="T30" t="s">
        <v>38</v>
      </c>
      <c r="U30" t="s">
        <v>112</v>
      </c>
      <c r="V30" t="b">
        <v>1</v>
      </c>
      <c r="W30" t="s">
        <v>40</v>
      </c>
      <c r="X30">
        <v>72</v>
      </c>
      <c r="Y30">
        <v>8000</v>
      </c>
      <c r="Z30">
        <v>0.59987500000000005</v>
      </c>
      <c r="AA30" t="s">
        <v>41</v>
      </c>
      <c r="AB30" t="s">
        <v>42</v>
      </c>
      <c r="AC30" t="s">
        <v>43</v>
      </c>
    </row>
    <row r="31" spans="1:29" ht="15" customHeight="1">
      <c r="A31" s="2">
        <v>30</v>
      </c>
      <c r="B31" s="2">
        <v>3076</v>
      </c>
      <c r="C31" s="2" t="s">
        <v>29</v>
      </c>
      <c r="D31" s="2" t="s">
        <v>30</v>
      </c>
      <c r="E31" s="2">
        <v>159</v>
      </c>
      <c r="F31" s="2">
        <v>52</v>
      </c>
      <c r="G31" s="2">
        <v>194</v>
      </c>
      <c r="H31" s="2">
        <v>2</v>
      </c>
      <c r="I31" s="2">
        <v>4</v>
      </c>
      <c r="J31" s="2">
        <v>10</v>
      </c>
      <c r="K31" s="2" t="s">
        <v>61</v>
      </c>
      <c r="L31" s="2" t="s">
        <v>32</v>
      </c>
      <c r="M31" s="2"/>
      <c r="N31" s="2" t="s">
        <v>34</v>
      </c>
      <c r="O31" s="2" t="s">
        <v>35</v>
      </c>
      <c r="P31" s="2" t="s">
        <v>36</v>
      </c>
      <c r="Q31" s="5">
        <v>46160.917187500003</v>
      </c>
      <c r="R31" t="s">
        <v>113</v>
      </c>
      <c r="S31" s="6">
        <v>46160</v>
      </c>
      <c r="T31" t="s">
        <v>38</v>
      </c>
      <c r="U31" t="s">
        <v>114</v>
      </c>
      <c r="V31" t="b">
        <v>1</v>
      </c>
      <c r="W31" t="s">
        <v>40</v>
      </c>
      <c r="X31">
        <v>72</v>
      </c>
      <c r="Y31">
        <v>8000</v>
      </c>
      <c r="Z31">
        <v>0.59987500000000005</v>
      </c>
      <c r="AA31" t="s">
        <v>41</v>
      </c>
      <c r="AB31" t="s">
        <v>42</v>
      </c>
      <c r="AC31" t="s">
        <v>43</v>
      </c>
    </row>
    <row r="32" spans="1:29" ht="15" customHeight="1">
      <c r="A32" s="2">
        <v>31</v>
      </c>
      <c r="B32" s="2">
        <v>3077</v>
      </c>
      <c r="C32" s="2" t="s">
        <v>29</v>
      </c>
      <c r="D32" s="2" t="s">
        <v>30</v>
      </c>
      <c r="E32" s="2">
        <v>163</v>
      </c>
      <c r="F32" s="2">
        <v>52</v>
      </c>
      <c r="G32" s="2">
        <v>194</v>
      </c>
      <c r="H32" s="2">
        <v>2</v>
      </c>
      <c r="I32" s="2">
        <v>4</v>
      </c>
      <c r="J32" s="2">
        <v>10</v>
      </c>
      <c r="K32" s="2" t="s">
        <v>31</v>
      </c>
      <c r="L32" s="2" t="s">
        <v>32</v>
      </c>
      <c r="M32" s="2"/>
      <c r="N32" s="2" t="s">
        <v>115</v>
      </c>
      <c r="O32" s="2" t="s">
        <v>35</v>
      </c>
      <c r="P32" s="2" t="s">
        <v>36</v>
      </c>
      <c r="Q32" s="5">
        <v>46160.919583333343</v>
      </c>
      <c r="R32" t="s">
        <v>116</v>
      </c>
      <c r="S32" s="6">
        <v>46160</v>
      </c>
      <c r="T32" t="s">
        <v>38</v>
      </c>
      <c r="U32" t="s">
        <v>117</v>
      </c>
      <c r="V32" t="b">
        <v>1</v>
      </c>
      <c r="W32" t="s">
        <v>40</v>
      </c>
      <c r="X32">
        <v>72</v>
      </c>
      <c r="Y32">
        <v>8000</v>
      </c>
      <c r="Z32">
        <v>0.59987500000000005</v>
      </c>
      <c r="AA32" t="s">
        <v>41</v>
      </c>
      <c r="AB32" t="s">
        <v>42</v>
      </c>
      <c r="AC32" t="s">
        <v>43</v>
      </c>
    </row>
    <row r="33" spans="1:29" ht="15" customHeight="1">
      <c r="A33" s="2">
        <v>32</v>
      </c>
      <c r="B33" s="2">
        <v>3078</v>
      </c>
      <c r="C33" s="2" t="s">
        <v>29</v>
      </c>
      <c r="D33" s="2" t="s">
        <v>30</v>
      </c>
      <c r="E33" s="2">
        <v>167</v>
      </c>
      <c r="F33" s="2">
        <v>52</v>
      </c>
      <c r="G33" s="2">
        <v>194</v>
      </c>
      <c r="H33" s="2">
        <v>2</v>
      </c>
      <c r="I33" s="2">
        <v>4</v>
      </c>
      <c r="J33" s="2">
        <v>10</v>
      </c>
      <c r="K33" s="2" t="s">
        <v>50</v>
      </c>
      <c r="L33" s="2" t="s">
        <v>32</v>
      </c>
      <c r="M33" s="2"/>
      <c r="N33" s="2" t="s">
        <v>115</v>
      </c>
      <c r="O33" s="2" t="s">
        <v>35</v>
      </c>
      <c r="P33" s="2" t="s">
        <v>36</v>
      </c>
      <c r="Q33" s="5">
        <v>46160.921284722222</v>
      </c>
      <c r="R33" t="s">
        <v>118</v>
      </c>
      <c r="S33" s="6">
        <v>46160</v>
      </c>
      <c r="T33" t="s">
        <v>38</v>
      </c>
      <c r="U33" t="s">
        <v>119</v>
      </c>
      <c r="V33" t="b">
        <v>1</v>
      </c>
      <c r="W33" t="s">
        <v>40</v>
      </c>
      <c r="X33">
        <v>72</v>
      </c>
      <c r="Y33">
        <v>8000</v>
      </c>
      <c r="Z33">
        <v>0.59987500000000005</v>
      </c>
      <c r="AA33" t="s">
        <v>41</v>
      </c>
      <c r="AB33" t="s">
        <v>42</v>
      </c>
      <c r="AC33" t="s">
        <v>43</v>
      </c>
    </row>
    <row r="34" spans="1:29" ht="15" customHeight="1">
      <c r="A34" s="2">
        <v>33</v>
      </c>
      <c r="B34" s="2">
        <v>3079</v>
      </c>
      <c r="C34" s="2" t="s">
        <v>29</v>
      </c>
      <c r="D34" s="2" t="s">
        <v>30</v>
      </c>
      <c r="E34" s="2">
        <v>171</v>
      </c>
      <c r="F34" s="2">
        <v>52</v>
      </c>
      <c r="G34" s="2">
        <v>194</v>
      </c>
      <c r="H34" s="2">
        <v>2</v>
      </c>
      <c r="I34" s="2">
        <v>4</v>
      </c>
      <c r="J34" s="2">
        <v>10</v>
      </c>
      <c r="K34" s="2" t="s">
        <v>92</v>
      </c>
      <c r="L34" s="2" t="s">
        <v>32</v>
      </c>
      <c r="M34" s="2"/>
      <c r="N34" s="2" t="s">
        <v>115</v>
      </c>
      <c r="O34" s="2" t="s">
        <v>35</v>
      </c>
      <c r="P34" s="2" t="s">
        <v>36</v>
      </c>
      <c r="Q34" s="5">
        <v>46160.924131944441</v>
      </c>
      <c r="R34" t="s">
        <v>120</v>
      </c>
      <c r="S34" s="6">
        <v>46160</v>
      </c>
      <c r="T34" t="s">
        <v>38</v>
      </c>
      <c r="U34" t="s">
        <v>121</v>
      </c>
      <c r="V34" t="b">
        <v>1</v>
      </c>
      <c r="W34" t="s">
        <v>40</v>
      </c>
      <c r="X34">
        <v>72</v>
      </c>
      <c r="Y34">
        <v>8000</v>
      </c>
      <c r="Z34">
        <v>0.59987500000000005</v>
      </c>
      <c r="AA34" t="s">
        <v>41</v>
      </c>
      <c r="AB34" t="s">
        <v>42</v>
      </c>
      <c r="AC34" t="s">
        <v>43</v>
      </c>
    </row>
    <row r="35" spans="1:29" ht="15" customHeight="1">
      <c r="A35" s="2">
        <v>34</v>
      </c>
      <c r="B35" s="2">
        <v>3080</v>
      </c>
      <c r="C35" s="2" t="s">
        <v>29</v>
      </c>
      <c r="D35" s="2" t="s">
        <v>30</v>
      </c>
      <c r="E35" s="2">
        <v>175</v>
      </c>
      <c r="F35" s="2">
        <v>52</v>
      </c>
      <c r="G35" s="2">
        <v>194</v>
      </c>
      <c r="H35" s="2">
        <v>2</v>
      </c>
      <c r="I35" s="2">
        <v>4</v>
      </c>
      <c r="J35" s="2">
        <v>9</v>
      </c>
      <c r="K35" s="2" t="s">
        <v>31</v>
      </c>
      <c r="L35" s="2" t="s">
        <v>32</v>
      </c>
      <c r="M35" s="2" t="s">
        <v>122</v>
      </c>
      <c r="N35" s="2" t="s">
        <v>115</v>
      </c>
      <c r="O35" s="2" t="s">
        <v>35</v>
      </c>
      <c r="P35" s="2" t="s">
        <v>36</v>
      </c>
      <c r="Q35" s="5">
        <v>46160.934699074067</v>
      </c>
      <c r="R35" t="s">
        <v>123</v>
      </c>
      <c r="S35" s="6">
        <v>46160</v>
      </c>
      <c r="T35" t="s">
        <v>38</v>
      </c>
      <c r="U35" t="s">
        <v>124</v>
      </c>
      <c r="V35" t="b">
        <v>1</v>
      </c>
      <c r="W35" t="s">
        <v>40</v>
      </c>
      <c r="X35">
        <v>72</v>
      </c>
      <c r="Y35">
        <v>8000</v>
      </c>
      <c r="Z35">
        <v>0.59987500000000005</v>
      </c>
      <c r="AA35" t="s">
        <v>41</v>
      </c>
      <c r="AB35" t="s">
        <v>42</v>
      </c>
      <c r="AC35" t="s">
        <v>43</v>
      </c>
    </row>
    <row r="36" spans="1:29" ht="15" customHeight="1">
      <c r="A36" s="2">
        <v>35</v>
      </c>
      <c r="B36" s="2">
        <v>3081</v>
      </c>
      <c r="C36" s="2" t="s">
        <v>29</v>
      </c>
      <c r="D36" s="2" t="s">
        <v>30</v>
      </c>
      <c r="E36" s="2">
        <v>179</v>
      </c>
      <c r="F36" s="2">
        <v>52</v>
      </c>
      <c r="G36" s="2">
        <v>194</v>
      </c>
      <c r="H36" s="2">
        <v>2</v>
      </c>
      <c r="I36" s="2">
        <v>4</v>
      </c>
      <c r="J36" s="2">
        <v>10</v>
      </c>
      <c r="K36" s="2" t="s">
        <v>68</v>
      </c>
      <c r="L36" s="2" t="s">
        <v>32</v>
      </c>
      <c r="M36" s="2"/>
      <c r="N36" s="2" t="s">
        <v>115</v>
      </c>
      <c r="O36" s="2" t="s">
        <v>35</v>
      </c>
      <c r="P36" s="2" t="s">
        <v>36</v>
      </c>
      <c r="Q36" s="5">
        <v>46160.937777777777</v>
      </c>
      <c r="R36" t="s">
        <v>125</v>
      </c>
      <c r="S36" s="6">
        <v>46160</v>
      </c>
      <c r="T36" t="s">
        <v>38</v>
      </c>
      <c r="U36" t="s">
        <v>126</v>
      </c>
      <c r="V36" t="b">
        <v>1</v>
      </c>
      <c r="W36" t="s">
        <v>40</v>
      </c>
      <c r="X36">
        <v>72</v>
      </c>
      <c r="Y36">
        <v>8000</v>
      </c>
      <c r="Z36">
        <v>0.59987500000000005</v>
      </c>
      <c r="AA36" t="s">
        <v>41</v>
      </c>
      <c r="AB36" t="s">
        <v>42</v>
      </c>
      <c r="AC36" t="s">
        <v>43</v>
      </c>
    </row>
    <row r="37" spans="1:29" ht="30" customHeight="1">
      <c r="A37" s="2">
        <v>36</v>
      </c>
      <c r="B37" s="2">
        <v>3082</v>
      </c>
      <c r="C37" s="2" t="s">
        <v>29</v>
      </c>
      <c r="D37" s="2" t="s">
        <v>30</v>
      </c>
      <c r="E37" s="2">
        <v>183</v>
      </c>
      <c r="F37" s="2">
        <v>52</v>
      </c>
      <c r="G37" s="2">
        <v>194</v>
      </c>
      <c r="H37" s="2">
        <v>2</v>
      </c>
      <c r="I37" s="2">
        <v>4</v>
      </c>
      <c r="J37" s="2">
        <v>10</v>
      </c>
      <c r="K37" s="2" t="s">
        <v>47</v>
      </c>
      <c r="L37" s="2" t="s">
        <v>32</v>
      </c>
      <c r="M37" s="2" t="s">
        <v>127</v>
      </c>
      <c r="N37" s="2" t="s">
        <v>115</v>
      </c>
      <c r="O37" s="2" t="s">
        <v>35</v>
      </c>
      <c r="P37" s="2" t="s">
        <v>36</v>
      </c>
      <c r="Q37" s="5">
        <v>46160.94017361111</v>
      </c>
      <c r="R37" t="s">
        <v>128</v>
      </c>
      <c r="S37" s="6">
        <v>46160</v>
      </c>
      <c r="T37" t="s">
        <v>38</v>
      </c>
      <c r="U37" t="s">
        <v>129</v>
      </c>
      <c r="V37" t="b">
        <v>1</v>
      </c>
      <c r="W37" t="s">
        <v>40</v>
      </c>
      <c r="X37">
        <v>72</v>
      </c>
      <c r="Y37">
        <v>8000</v>
      </c>
      <c r="Z37">
        <v>0.59987500000000005</v>
      </c>
      <c r="AA37" t="s">
        <v>41</v>
      </c>
      <c r="AB37" t="s">
        <v>42</v>
      </c>
      <c r="AC37" t="s">
        <v>43</v>
      </c>
    </row>
    <row r="38" spans="1:29" ht="30" customHeight="1">
      <c r="A38" s="2">
        <v>37</v>
      </c>
      <c r="B38" s="2">
        <v>3083</v>
      </c>
      <c r="C38" s="2" t="s">
        <v>29</v>
      </c>
      <c r="D38" s="2" t="s">
        <v>30</v>
      </c>
      <c r="E38" s="2">
        <v>187</v>
      </c>
      <c r="F38" s="2">
        <v>52</v>
      </c>
      <c r="G38" s="2">
        <v>194</v>
      </c>
      <c r="H38" s="2">
        <v>2</v>
      </c>
      <c r="I38" s="2">
        <v>4</v>
      </c>
      <c r="J38" s="2">
        <v>10</v>
      </c>
      <c r="K38" s="2" t="s">
        <v>31</v>
      </c>
      <c r="L38" s="2" t="s">
        <v>32</v>
      </c>
      <c r="M38" s="2" t="s">
        <v>127</v>
      </c>
      <c r="N38" s="2" t="s">
        <v>115</v>
      </c>
      <c r="O38" s="2" t="s">
        <v>35</v>
      </c>
      <c r="P38" s="2" t="s">
        <v>36</v>
      </c>
      <c r="Q38" s="5">
        <v>46160.944467592592</v>
      </c>
      <c r="R38" t="s">
        <v>130</v>
      </c>
      <c r="S38" s="6">
        <v>46160</v>
      </c>
      <c r="T38" t="s">
        <v>38</v>
      </c>
      <c r="U38" t="s">
        <v>131</v>
      </c>
      <c r="V38" t="b">
        <v>1</v>
      </c>
      <c r="W38" t="s">
        <v>40</v>
      </c>
      <c r="X38">
        <v>72</v>
      </c>
      <c r="Y38">
        <v>8000</v>
      </c>
      <c r="Z38">
        <v>0.59987500000000005</v>
      </c>
      <c r="AA38" t="s">
        <v>41</v>
      </c>
      <c r="AB38" t="s">
        <v>42</v>
      </c>
      <c r="AC38" t="s">
        <v>43</v>
      </c>
    </row>
    <row r="39" spans="1:29" ht="15" customHeight="1">
      <c r="A39" s="2">
        <v>38</v>
      </c>
      <c r="B39" s="2">
        <v>3084</v>
      </c>
      <c r="C39" s="2" t="s">
        <v>29</v>
      </c>
      <c r="D39" s="2" t="s">
        <v>30</v>
      </c>
      <c r="E39" s="2">
        <v>191</v>
      </c>
      <c r="F39" s="2">
        <v>52</v>
      </c>
      <c r="G39" s="2">
        <v>194</v>
      </c>
      <c r="H39" s="2">
        <v>2</v>
      </c>
      <c r="I39" s="2">
        <v>4</v>
      </c>
      <c r="J39" s="2">
        <v>10</v>
      </c>
      <c r="K39" s="2" t="s">
        <v>68</v>
      </c>
      <c r="L39" s="2" t="s">
        <v>32</v>
      </c>
      <c r="M39" s="2"/>
      <c r="N39" s="2" t="s">
        <v>115</v>
      </c>
      <c r="O39" s="2" t="s">
        <v>35</v>
      </c>
      <c r="P39" s="2" t="s">
        <v>36</v>
      </c>
      <c r="Q39" s="5">
        <v>46160.950486111113</v>
      </c>
      <c r="R39" t="s">
        <v>132</v>
      </c>
      <c r="S39" s="6">
        <v>46160</v>
      </c>
      <c r="T39" t="s">
        <v>38</v>
      </c>
      <c r="U39" t="s">
        <v>133</v>
      </c>
      <c r="V39" t="b">
        <v>1</v>
      </c>
      <c r="W39" t="s">
        <v>40</v>
      </c>
      <c r="X39">
        <v>72</v>
      </c>
      <c r="Y39">
        <v>8000</v>
      </c>
      <c r="Z39">
        <v>0.59987500000000005</v>
      </c>
      <c r="AA39" t="s">
        <v>41</v>
      </c>
      <c r="AB39" t="s">
        <v>42</v>
      </c>
      <c r="AC39" t="s">
        <v>43</v>
      </c>
    </row>
    <row r="40" spans="1:29" ht="15" customHeight="1">
      <c r="A40" s="2">
        <v>39</v>
      </c>
      <c r="B40" s="2">
        <v>3085</v>
      </c>
      <c r="C40" s="2" t="s">
        <v>29</v>
      </c>
      <c r="D40" s="2" t="s">
        <v>30</v>
      </c>
      <c r="E40" s="2">
        <v>195</v>
      </c>
      <c r="F40" s="2">
        <v>52</v>
      </c>
      <c r="G40" s="2">
        <v>194</v>
      </c>
      <c r="H40" s="2">
        <v>2</v>
      </c>
      <c r="I40" s="2">
        <v>4</v>
      </c>
      <c r="J40" s="2">
        <v>10</v>
      </c>
      <c r="K40" s="2" t="s">
        <v>47</v>
      </c>
      <c r="L40" s="2" t="s">
        <v>32</v>
      </c>
      <c r="M40" s="2"/>
      <c r="N40" s="2" t="s">
        <v>115</v>
      </c>
      <c r="O40" s="2" t="s">
        <v>35</v>
      </c>
      <c r="P40" s="2" t="s">
        <v>36</v>
      </c>
      <c r="Q40" s="5">
        <v>46160.952766203707</v>
      </c>
      <c r="R40" t="s">
        <v>134</v>
      </c>
      <c r="S40" s="6">
        <v>46160</v>
      </c>
      <c r="T40" t="s">
        <v>38</v>
      </c>
      <c r="U40" t="s">
        <v>135</v>
      </c>
      <c r="V40" t="b">
        <v>1</v>
      </c>
      <c r="W40" t="s">
        <v>40</v>
      </c>
      <c r="X40">
        <v>72</v>
      </c>
      <c r="Y40">
        <v>8000</v>
      </c>
      <c r="Z40">
        <v>0.59987500000000005</v>
      </c>
      <c r="AA40" t="s">
        <v>41</v>
      </c>
      <c r="AB40" t="s">
        <v>42</v>
      </c>
      <c r="AC40" t="s">
        <v>43</v>
      </c>
    </row>
    <row r="41" spans="1:29" ht="15" customHeight="1">
      <c r="A41" s="2">
        <v>40</v>
      </c>
      <c r="B41" s="2">
        <v>3086</v>
      </c>
      <c r="C41" s="2" t="s">
        <v>29</v>
      </c>
      <c r="D41" s="2" t="s">
        <v>30</v>
      </c>
      <c r="E41" s="2">
        <v>199</v>
      </c>
      <c r="F41" s="2">
        <v>52</v>
      </c>
      <c r="G41" s="2">
        <v>194</v>
      </c>
      <c r="H41" s="2">
        <v>2</v>
      </c>
      <c r="I41" s="2">
        <v>4</v>
      </c>
      <c r="J41" s="2">
        <v>10</v>
      </c>
      <c r="K41" s="2" t="s">
        <v>50</v>
      </c>
      <c r="L41" s="2" t="s">
        <v>32</v>
      </c>
      <c r="M41" s="2"/>
      <c r="N41" s="2" t="s">
        <v>115</v>
      </c>
      <c r="O41" s="2" t="s">
        <v>35</v>
      </c>
      <c r="P41" s="2" t="s">
        <v>36</v>
      </c>
      <c r="Q41" s="5">
        <v>46160.955000000002</v>
      </c>
      <c r="R41" t="s">
        <v>136</v>
      </c>
      <c r="S41" s="6">
        <v>46160</v>
      </c>
      <c r="T41" t="s">
        <v>38</v>
      </c>
      <c r="U41" t="s">
        <v>137</v>
      </c>
      <c r="V41" t="b">
        <v>1</v>
      </c>
      <c r="W41" t="s">
        <v>40</v>
      </c>
      <c r="X41">
        <v>72</v>
      </c>
      <c r="Y41">
        <v>8000</v>
      </c>
      <c r="Z41">
        <v>0.59987500000000005</v>
      </c>
      <c r="AA41" t="s">
        <v>41</v>
      </c>
      <c r="AB41" t="s">
        <v>42</v>
      </c>
      <c r="AC41" t="s">
        <v>43</v>
      </c>
    </row>
    <row r="42" spans="1:29" ht="15" customHeight="1">
      <c r="A42" s="2">
        <v>41</v>
      </c>
      <c r="B42" s="2">
        <v>3087</v>
      </c>
      <c r="C42" s="2" t="s">
        <v>29</v>
      </c>
      <c r="D42" s="2" t="s">
        <v>30</v>
      </c>
      <c r="E42" s="2">
        <v>203</v>
      </c>
      <c r="F42" s="2">
        <v>52</v>
      </c>
      <c r="G42" s="2">
        <v>194</v>
      </c>
      <c r="H42" s="2">
        <v>2</v>
      </c>
      <c r="I42" s="2">
        <v>4</v>
      </c>
      <c r="J42" s="2">
        <v>10</v>
      </c>
      <c r="K42" s="2" t="s">
        <v>31</v>
      </c>
      <c r="L42" s="2" t="s">
        <v>32</v>
      </c>
      <c r="M42" s="2"/>
      <c r="N42" s="2" t="s">
        <v>115</v>
      </c>
      <c r="O42" s="2" t="s">
        <v>35</v>
      </c>
      <c r="P42" s="2" t="s">
        <v>36</v>
      </c>
      <c r="Q42" s="5">
        <v>46160.957233796304</v>
      </c>
      <c r="R42" t="s">
        <v>138</v>
      </c>
      <c r="S42" s="6">
        <v>46160</v>
      </c>
      <c r="T42" t="s">
        <v>38</v>
      </c>
      <c r="U42" t="s">
        <v>139</v>
      </c>
      <c r="V42" t="b">
        <v>1</v>
      </c>
      <c r="W42" t="s">
        <v>40</v>
      </c>
      <c r="X42">
        <v>72</v>
      </c>
      <c r="Y42">
        <v>8000</v>
      </c>
      <c r="Z42">
        <v>0.59987500000000005</v>
      </c>
      <c r="AA42" t="s">
        <v>41</v>
      </c>
      <c r="AB42" t="s">
        <v>42</v>
      </c>
      <c r="AC42" t="s">
        <v>43</v>
      </c>
    </row>
    <row r="43" spans="1:29" ht="30" customHeight="1">
      <c r="A43" s="2">
        <v>42</v>
      </c>
      <c r="B43" s="2">
        <v>3088</v>
      </c>
      <c r="C43" s="2" t="s">
        <v>29</v>
      </c>
      <c r="D43" s="2" t="s">
        <v>30</v>
      </c>
      <c r="E43" s="2">
        <v>47</v>
      </c>
      <c r="F43" s="2">
        <v>52</v>
      </c>
      <c r="G43" s="2">
        <v>194</v>
      </c>
      <c r="H43" s="2">
        <v>2</v>
      </c>
      <c r="I43" s="2">
        <v>4</v>
      </c>
      <c r="J43" s="2">
        <v>1</v>
      </c>
      <c r="K43" s="2" t="s">
        <v>140</v>
      </c>
      <c r="L43" s="2" t="s">
        <v>727</v>
      </c>
      <c r="M43" s="2" t="s">
        <v>141</v>
      </c>
      <c r="N43" s="2" t="s">
        <v>115</v>
      </c>
      <c r="O43" s="2" t="s">
        <v>142</v>
      </c>
      <c r="P43" s="2" t="s">
        <v>143</v>
      </c>
      <c r="Q43" s="5">
        <v>46160.967280092591</v>
      </c>
      <c r="R43" t="s">
        <v>144</v>
      </c>
      <c r="S43" s="6">
        <v>46160</v>
      </c>
      <c r="T43" t="s">
        <v>38</v>
      </c>
      <c r="U43" t="s">
        <v>145</v>
      </c>
      <c r="V43" t="b">
        <v>1</v>
      </c>
      <c r="W43" t="s">
        <v>40</v>
      </c>
      <c r="X43">
        <v>72</v>
      </c>
      <c r="Y43">
        <v>8000</v>
      </c>
      <c r="Z43">
        <v>0.59987500000000005</v>
      </c>
      <c r="AA43" t="s">
        <v>41</v>
      </c>
      <c r="AB43" t="s">
        <v>42</v>
      </c>
      <c r="AC43" t="s">
        <v>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4"/>
  <sheetViews>
    <sheetView topLeftCell="A54" workbookViewId="0">
      <selection activeCell="I3" sqref="I3"/>
    </sheetView>
  </sheetViews>
  <sheetFormatPr baseColWidth="10" defaultColWidth="8.83203125" defaultRowHeight="14"/>
  <cols>
    <col min="1" max="3" width="10" customWidth="1"/>
    <col min="4" max="4" width="28" customWidth="1"/>
    <col min="5" max="5" width="16" customWidth="1"/>
    <col min="6" max="6" width="10" customWidth="1"/>
    <col min="7" max="7" width="18" customWidth="1"/>
    <col min="8" max="8" width="12" customWidth="1"/>
    <col min="9" max="9" width="60" customWidth="1"/>
    <col min="10" max="10" width="15" customWidth="1"/>
    <col min="11" max="11" width="12" customWidth="1"/>
    <col min="12" max="12" width="15" customWidth="1"/>
    <col min="13" max="14" width="22" customWidth="1"/>
    <col min="15" max="16" width="16" customWidth="1"/>
    <col min="17" max="17" width="22" customWidth="1"/>
    <col min="18" max="22" width="16" customWidth="1"/>
    <col min="23" max="23" width="22" customWidth="1"/>
    <col min="24" max="24" width="16" customWidth="1"/>
    <col min="25" max="25" width="22" customWidth="1"/>
  </cols>
  <sheetData>
    <row r="1" spans="1:2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ht="45" customHeight="1">
      <c r="A2" s="2">
        <v>1</v>
      </c>
      <c r="B2" s="2">
        <f t="shared" ref="B2:B33" si="0">1001+A2-1</f>
        <v>1001</v>
      </c>
      <c r="C2" s="2" t="s">
        <v>29</v>
      </c>
      <c r="D2" s="2" t="s">
        <v>340</v>
      </c>
      <c r="E2" s="2">
        <f t="shared" ref="E2:E33" si="1">87+1.5*(A2-1)</f>
        <v>87</v>
      </c>
      <c r="F2" s="2">
        <v>5</v>
      </c>
      <c r="G2" s="2">
        <v>145</v>
      </c>
      <c r="H2" s="2" t="s">
        <v>341</v>
      </c>
      <c r="I2" s="2" t="s">
        <v>342</v>
      </c>
      <c r="J2" s="2" t="s">
        <v>343</v>
      </c>
      <c r="K2" s="2" t="s">
        <v>142</v>
      </c>
      <c r="L2" s="2" t="s">
        <v>143</v>
      </c>
    </row>
    <row r="3" spans="1:25" ht="15" customHeight="1">
      <c r="A3" s="2">
        <v>2</v>
      </c>
      <c r="B3" s="2">
        <f t="shared" si="0"/>
        <v>1002</v>
      </c>
      <c r="C3" s="2" t="s">
        <v>344</v>
      </c>
      <c r="D3" s="2" t="s">
        <v>340</v>
      </c>
      <c r="E3" s="2">
        <f t="shared" si="1"/>
        <v>88.5</v>
      </c>
      <c r="F3" s="2">
        <v>4</v>
      </c>
      <c r="G3" s="2">
        <v>150</v>
      </c>
      <c r="H3" s="2" t="s">
        <v>341</v>
      </c>
      <c r="I3" s="2"/>
      <c r="J3" s="2" t="s">
        <v>343</v>
      </c>
      <c r="K3" s="2" t="s">
        <v>142</v>
      </c>
      <c r="L3" s="2" t="s">
        <v>143</v>
      </c>
    </row>
    <row r="4" spans="1:25" ht="15" customHeight="1">
      <c r="A4" s="2">
        <v>3</v>
      </c>
      <c r="B4" s="2">
        <f t="shared" si="0"/>
        <v>1003</v>
      </c>
      <c r="C4" s="2" t="s">
        <v>168</v>
      </c>
      <c r="D4" s="2" t="s">
        <v>340</v>
      </c>
      <c r="E4" s="2">
        <f t="shared" si="1"/>
        <v>90</v>
      </c>
      <c r="F4" s="2">
        <v>4</v>
      </c>
      <c r="G4" s="2">
        <v>155</v>
      </c>
      <c r="H4" s="2" t="s">
        <v>341</v>
      </c>
      <c r="I4" s="2"/>
      <c r="J4" s="2" t="s">
        <v>343</v>
      </c>
      <c r="K4" s="2" t="s">
        <v>142</v>
      </c>
      <c r="L4" s="2" t="s">
        <v>143</v>
      </c>
    </row>
    <row r="5" spans="1:25" ht="15" customHeight="1">
      <c r="A5" s="2">
        <v>4</v>
      </c>
      <c r="B5" s="2">
        <f t="shared" si="0"/>
        <v>1004</v>
      </c>
      <c r="C5" s="2" t="s">
        <v>171</v>
      </c>
      <c r="D5" s="2" t="s">
        <v>340</v>
      </c>
      <c r="E5" s="2">
        <f t="shared" si="1"/>
        <v>91.5</v>
      </c>
      <c r="F5" s="2">
        <v>3</v>
      </c>
      <c r="G5" s="2">
        <v>160</v>
      </c>
      <c r="H5" s="2" t="s">
        <v>341</v>
      </c>
      <c r="I5" s="2"/>
      <c r="J5" s="2" t="s">
        <v>343</v>
      </c>
      <c r="K5" s="2" t="s">
        <v>142</v>
      </c>
      <c r="L5" s="2" t="s">
        <v>143</v>
      </c>
    </row>
    <row r="6" spans="1:25" ht="15" customHeight="1">
      <c r="A6" s="2">
        <v>5</v>
      </c>
      <c r="B6" s="2">
        <f t="shared" si="0"/>
        <v>1005</v>
      </c>
      <c r="C6" s="2" t="s">
        <v>345</v>
      </c>
      <c r="D6" s="2" t="s">
        <v>340</v>
      </c>
      <c r="E6" s="2">
        <f t="shared" si="1"/>
        <v>93</v>
      </c>
      <c r="F6" s="2">
        <v>3</v>
      </c>
      <c r="G6" s="2">
        <v>165</v>
      </c>
      <c r="H6" s="2" t="s">
        <v>341</v>
      </c>
      <c r="I6" s="2"/>
      <c r="J6" s="2" t="s">
        <v>343</v>
      </c>
      <c r="K6" s="2" t="s">
        <v>142</v>
      </c>
      <c r="L6" s="2" t="s">
        <v>143</v>
      </c>
    </row>
    <row r="7" spans="1:25" ht="15" customHeight="1">
      <c r="A7" s="2">
        <v>6</v>
      </c>
      <c r="B7" s="2">
        <f t="shared" si="0"/>
        <v>1006</v>
      </c>
      <c r="C7" s="2" t="s">
        <v>346</v>
      </c>
      <c r="D7" s="2" t="s">
        <v>340</v>
      </c>
      <c r="E7" s="2">
        <f t="shared" si="1"/>
        <v>94.5</v>
      </c>
      <c r="F7" s="2">
        <v>3</v>
      </c>
      <c r="G7" s="2">
        <v>170</v>
      </c>
      <c r="H7" s="2" t="s">
        <v>341</v>
      </c>
      <c r="I7" s="2"/>
      <c r="J7" s="2" t="s">
        <v>343</v>
      </c>
      <c r="K7" s="2" t="s">
        <v>142</v>
      </c>
      <c r="L7" s="2" t="s">
        <v>143</v>
      </c>
    </row>
    <row r="8" spans="1:25" ht="15" customHeight="1">
      <c r="A8" s="2">
        <v>7</v>
      </c>
      <c r="B8" s="2">
        <f t="shared" si="0"/>
        <v>1007</v>
      </c>
      <c r="C8" s="2" t="s">
        <v>347</v>
      </c>
      <c r="D8" s="2" t="s">
        <v>340</v>
      </c>
      <c r="E8" s="2">
        <f t="shared" si="1"/>
        <v>96</v>
      </c>
      <c r="F8" s="2">
        <v>4</v>
      </c>
      <c r="G8" s="2">
        <v>175</v>
      </c>
      <c r="H8" s="2" t="s">
        <v>341</v>
      </c>
      <c r="I8" s="2"/>
      <c r="J8" s="2" t="s">
        <v>343</v>
      </c>
      <c r="K8" s="2" t="s">
        <v>142</v>
      </c>
      <c r="L8" s="2" t="s">
        <v>143</v>
      </c>
    </row>
    <row r="9" spans="1:25" ht="15" customHeight="1">
      <c r="A9" s="2">
        <v>8</v>
      </c>
      <c r="B9" s="2">
        <f t="shared" si="0"/>
        <v>1008</v>
      </c>
      <c r="C9" s="2" t="s">
        <v>348</v>
      </c>
      <c r="D9" s="2" t="s">
        <v>340</v>
      </c>
      <c r="E9" s="2">
        <f t="shared" si="1"/>
        <v>97.5</v>
      </c>
      <c r="F9" s="2">
        <v>3</v>
      </c>
      <c r="G9" s="2">
        <v>180</v>
      </c>
      <c r="H9" s="2" t="s">
        <v>341</v>
      </c>
      <c r="I9" s="2"/>
      <c r="J9" s="2" t="s">
        <v>343</v>
      </c>
      <c r="K9" s="2" t="s">
        <v>142</v>
      </c>
      <c r="L9" s="2" t="s">
        <v>143</v>
      </c>
    </row>
    <row r="10" spans="1:25" ht="15" customHeight="1">
      <c r="A10" s="2">
        <v>9</v>
      </c>
      <c r="B10" s="2">
        <f t="shared" si="0"/>
        <v>1009</v>
      </c>
      <c r="C10" s="2" t="s">
        <v>349</v>
      </c>
      <c r="D10" s="2" t="s">
        <v>340</v>
      </c>
      <c r="E10" s="2">
        <f t="shared" si="1"/>
        <v>99</v>
      </c>
      <c r="F10" s="2">
        <v>3</v>
      </c>
      <c r="G10" s="2">
        <v>185</v>
      </c>
      <c r="H10" s="2" t="s">
        <v>341</v>
      </c>
      <c r="I10" s="2"/>
      <c r="J10" s="2" t="s">
        <v>343</v>
      </c>
      <c r="K10" s="2" t="s">
        <v>142</v>
      </c>
      <c r="L10" s="2" t="s">
        <v>143</v>
      </c>
    </row>
    <row r="11" spans="1:25" ht="15" customHeight="1">
      <c r="A11" s="2">
        <v>10</v>
      </c>
      <c r="B11" s="2">
        <f t="shared" si="0"/>
        <v>1010</v>
      </c>
      <c r="C11" s="2" t="s">
        <v>350</v>
      </c>
      <c r="D11" s="2" t="s">
        <v>340</v>
      </c>
      <c r="E11" s="2">
        <f t="shared" si="1"/>
        <v>100.5</v>
      </c>
      <c r="F11" s="2">
        <v>3</v>
      </c>
      <c r="G11" s="2">
        <v>190</v>
      </c>
      <c r="H11" s="2" t="s">
        <v>341</v>
      </c>
      <c r="I11" s="2"/>
      <c r="J11" s="2" t="s">
        <v>343</v>
      </c>
      <c r="K11" s="2" t="s">
        <v>142</v>
      </c>
      <c r="L11" s="2" t="s">
        <v>143</v>
      </c>
    </row>
    <row r="12" spans="1:25" ht="15" customHeight="1">
      <c r="A12" s="2">
        <v>11</v>
      </c>
      <c r="B12" s="2">
        <f t="shared" si="0"/>
        <v>1011</v>
      </c>
      <c r="C12" s="2" t="s">
        <v>351</v>
      </c>
      <c r="D12" s="2" t="s">
        <v>340</v>
      </c>
      <c r="E12" s="2">
        <f t="shared" si="1"/>
        <v>102</v>
      </c>
      <c r="F12" s="2">
        <v>3</v>
      </c>
      <c r="G12" s="2">
        <v>195</v>
      </c>
      <c r="H12" s="2" t="s">
        <v>341</v>
      </c>
      <c r="I12" s="2"/>
      <c r="J12" s="2" t="s">
        <v>343</v>
      </c>
      <c r="K12" s="2" t="s">
        <v>142</v>
      </c>
      <c r="L12" s="2" t="s">
        <v>143</v>
      </c>
    </row>
    <row r="13" spans="1:25" ht="15" customHeight="1">
      <c r="A13" s="2">
        <v>12</v>
      </c>
      <c r="B13" s="2">
        <f t="shared" si="0"/>
        <v>1012</v>
      </c>
      <c r="C13" s="2" t="s">
        <v>352</v>
      </c>
      <c r="D13" s="2" t="s">
        <v>340</v>
      </c>
      <c r="E13" s="2">
        <f t="shared" si="1"/>
        <v>103.5</v>
      </c>
      <c r="F13" s="2">
        <v>4</v>
      </c>
      <c r="G13" s="2">
        <v>200</v>
      </c>
      <c r="H13" s="2" t="s">
        <v>341</v>
      </c>
      <c r="I13" s="2"/>
      <c r="J13" s="2" t="s">
        <v>343</v>
      </c>
      <c r="K13" s="2" t="s">
        <v>142</v>
      </c>
      <c r="L13" s="2" t="s">
        <v>143</v>
      </c>
    </row>
    <row r="14" spans="1:25" ht="15" customHeight="1">
      <c r="A14" s="2">
        <v>13</v>
      </c>
      <c r="B14" s="2">
        <f t="shared" si="0"/>
        <v>1013</v>
      </c>
      <c r="C14" s="2" t="s">
        <v>353</v>
      </c>
      <c r="D14" s="2" t="s">
        <v>340</v>
      </c>
      <c r="E14" s="2">
        <f t="shared" si="1"/>
        <v>105</v>
      </c>
      <c r="F14" s="2">
        <v>3</v>
      </c>
      <c r="G14" s="2">
        <v>205</v>
      </c>
      <c r="H14" s="2" t="s">
        <v>341</v>
      </c>
      <c r="I14" s="2"/>
      <c r="J14" s="2" t="s">
        <v>343</v>
      </c>
      <c r="K14" s="2" t="s">
        <v>142</v>
      </c>
      <c r="L14" s="2" t="s">
        <v>143</v>
      </c>
    </row>
    <row r="15" spans="1:25" ht="15" customHeight="1">
      <c r="A15" s="2">
        <v>14</v>
      </c>
      <c r="B15" s="2">
        <f t="shared" si="0"/>
        <v>1014</v>
      </c>
      <c r="C15" s="2" t="s">
        <v>354</v>
      </c>
      <c r="D15" s="2" t="s">
        <v>340</v>
      </c>
      <c r="E15" s="2">
        <f t="shared" si="1"/>
        <v>106.5</v>
      </c>
      <c r="F15" s="2">
        <v>3</v>
      </c>
      <c r="G15" s="2">
        <v>210</v>
      </c>
      <c r="H15" s="2" t="s">
        <v>341</v>
      </c>
      <c r="I15" s="2"/>
      <c r="J15" s="2" t="s">
        <v>355</v>
      </c>
      <c r="K15" s="2" t="s">
        <v>142</v>
      </c>
      <c r="L15" s="2" t="s">
        <v>143</v>
      </c>
    </row>
    <row r="16" spans="1:25" ht="15" customHeight="1">
      <c r="A16" s="2">
        <v>15</v>
      </c>
      <c r="B16" s="2">
        <f t="shared" si="0"/>
        <v>1015</v>
      </c>
      <c r="C16" s="2" t="s">
        <v>356</v>
      </c>
      <c r="D16" s="2" t="s">
        <v>340</v>
      </c>
      <c r="E16" s="2">
        <f t="shared" si="1"/>
        <v>108</v>
      </c>
      <c r="F16" s="2">
        <v>3</v>
      </c>
      <c r="G16" s="2">
        <v>215</v>
      </c>
      <c r="H16" s="2" t="s">
        <v>341</v>
      </c>
      <c r="I16" s="2"/>
      <c r="J16" s="2" t="s">
        <v>355</v>
      </c>
      <c r="K16" s="2" t="s">
        <v>142</v>
      </c>
      <c r="L16" s="2" t="s">
        <v>143</v>
      </c>
    </row>
    <row r="17" spans="1:12" ht="15" customHeight="1">
      <c r="A17" s="2">
        <v>16</v>
      </c>
      <c r="B17" s="2">
        <f t="shared" si="0"/>
        <v>1016</v>
      </c>
      <c r="C17" s="2" t="s">
        <v>357</v>
      </c>
      <c r="D17" s="2" t="s">
        <v>340</v>
      </c>
      <c r="E17" s="2">
        <f t="shared" si="1"/>
        <v>109.5</v>
      </c>
      <c r="F17" s="2">
        <v>4</v>
      </c>
      <c r="G17" s="2">
        <v>220</v>
      </c>
      <c r="H17" s="2" t="s">
        <v>341</v>
      </c>
      <c r="I17" s="2"/>
      <c r="J17" s="2" t="s">
        <v>355</v>
      </c>
      <c r="K17" s="2" t="s">
        <v>142</v>
      </c>
      <c r="L17" s="2" t="s">
        <v>143</v>
      </c>
    </row>
    <row r="18" spans="1:12" ht="15" customHeight="1">
      <c r="A18" s="2">
        <v>17</v>
      </c>
      <c r="B18" s="2">
        <f t="shared" si="0"/>
        <v>1017</v>
      </c>
      <c r="C18" s="2" t="s">
        <v>358</v>
      </c>
      <c r="D18" s="2" t="s">
        <v>340</v>
      </c>
      <c r="E18" s="2">
        <f t="shared" si="1"/>
        <v>111</v>
      </c>
      <c r="F18" s="2">
        <v>4</v>
      </c>
      <c r="G18" s="2">
        <v>225</v>
      </c>
      <c r="H18" s="2" t="s">
        <v>341</v>
      </c>
      <c r="I18" s="2"/>
      <c r="J18" s="2" t="s">
        <v>355</v>
      </c>
      <c r="K18" s="2" t="s">
        <v>142</v>
      </c>
      <c r="L18" s="2" t="s">
        <v>143</v>
      </c>
    </row>
    <row r="19" spans="1:12" ht="15" customHeight="1">
      <c r="A19" s="2">
        <v>18</v>
      </c>
      <c r="B19" s="2">
        <f t="shared" si="0"/>
        <v>1018</v>
      </c>
      <c r="C19" s="2" t="s">
        <v>359</v>
      </c>
      <c r="D19" s="2" t="s">
        <v>340</v>
      </c>
      <c r="E19" s="2">
        <f t="shared" si="1"/>
        <v>112.5</v>
      </c>
      <c r="F19" s="2">
        <v>4</v>
      </c>
      <c r="G19" s="2">
        <v>230</v>
      </c>
      <c r="H19" s="2" t="s">
        <v>341</v>
      </c>
      <c r="I19" s="2"/>
      <c r="J19" s="2" t="s">
        <v>355</v>
      </c>
      <c r="K19" s="2" t="s">
        <v>142</v>
      </c>
      <c r="L19" s="2" t="s">
        <v>143</v>
      </c>
    </row>
    <row r="20" spans="1:12" ht="15" customHeight="1">
      <c r="A20" s="2">
        <v>19</v>
      </c>
      <c r="B20" s="2">
        <f t="shared" si="0"/>
        <v>1019</v>
      </c>
      <c r="C20" s="2" t="s">
        <v>360</v>
      </c>
      <c r="D20" s="2" t="s">
        <v>340</v>
      </c>
      <c r="E20" s="2">
        <f t="shared" si="1"/>
        <v>114</v>
      </c>
      <c r="F20" s="2">
        <v>4</v>
      </c>
      <c r="G20" s="2">
        <v>235</v>
      </c>
      <c r="H20" s="2" t="s">
        <v>341</v>
      </c>
      <c r="I20" s="2"/>
      <c r="J20" s="2" t="s">
        <v>355</v>
      </c>
      <c r="K20" s="2" t="s">
        <v>142</v>
      </c>
      <c r="L20" s="2" t="s">
        <v>143</v>
      </c>
    </row>
    <row r="21" spans="1:12" ht="15" customHeight="1">
      <c r="A21" s="2">
        <v>20</v>
      </c>
      <c r="B21" s="2">
        <f t="shared" si="0"/>
        <v>1020</v>
      </c>
      <c r="C21" s="2" t="s">
        <v>361</v>
      </c>
      <c r="D21" s="2" t="s">
        <v>340</v>
      </c>
      <c r="E21" s="2">
        <f t="shared" si="1"/>
        <v>115.5</v>
      </c>
      <c r="F21" s="2">
        <v>3</v>
      </c>
      <c r="G21" s="2">
        <v>240</v>
      </c>
      <c r="H21" s="2" t="s">
        <v>341</v>
      </c>
      <c r="I21" s="2"/>
      <c r="J21" s="2" t="s">
        <v>355</v>
      </c>
      <c r="K21" s="2" t="s">
        <v>142</v>
      </c>
      <c r="L21" s="2" t="s">
        <v>143</v>
      </c>
    </row>
    <row r="22" spans="1:12" ht="15" customHeight="1">
      <c r="A22" s="2">
        <v>21</v>
      </c>
      <c r="B22" s="2">
        <f t="shared" si="0"/>
        <v>1021</v>
      </c>
      <c r="C22" s="2" t="s">
        <v>362</v>
      </c>
      <c r="D22" s="2" t="s">
        <v>340</v>
      </c>
      <c r="E22" s="2">
        <f t="shared" si="1"/>
        <v>117</v>
      </c>
      <c r="F22" s="2">
        <v>5</v>
      </c>
      <c r="G22" s="2">
        <v>245</v>
      </c>
      <c r="H22" s="2" t="s">
        <v>341</v>
      </c>
      <c r="I22" s="2"/>
      <c r="J22" s="2" t="s">
        <v>355</v>
      </c>
      <c r="K22" s="2" t="s">
        <v>142</v>
      </c>
      <c r="L22" s="2" t="s">
        <v>143</v>
      </c>
    </row>
    <row r="23" spans="1:12" ht="15" customHeight="1">
      <c r="A23" s="2">
        <v>22</v>
      </c>
      <c r="B23" s="2">
        <f t="shared" si="0"/>
        <v>1022</v>
      </c>
      <c r="C23" s="2" t="s">
        <v>363</v>
      </c>
      <c r="D23" s="2" t="s">
        <v>340</v>
      </c>
      <c r="E23" s="2">
        <f t="shared" si="1"/>
        <v>118.5</v>
      </c>
      <c r="F23" s="2">
        <v>3</v>
      </c>
      <c r="G23" s="2">
        <v>250</v>
      </c>
      <c r="H23" s="2" t="s">
        <v>341</v>
      </c>
      <c r="I23" s="2"/>
      <c r="J23" s="2" t="s">
        <v>355</v>
      </c>
      <c r="K23" s="2" t="s">
        <v>142</v>
      </c>
      <c r="L23" s="2" t="s">
        <v>143</v>
      </c>
    </row>
    <row r="24" spans="1:12" ht="15" customHeight="1">
      <c r="A24" s="2">
        <v>23</v>
      </c>
      <c r="B24" s="2">
        <f t="shared" si="0"/>
        <v>1023</v>
      </c>
      <c r="C24" s="2" t="s">
        <v>364</v>
      </c>
      <c r="D24" s="2" t="s">
        <v>340</v>
      </c>
      <c r="E24" s="2">
        <f t="shared" si="1"/>
        <v>120</v>
      </c>
      <c r="F24" s="2">
        <v>3</v>
      </c>
      <c r="G24" s="2">
        <v>255</v>
      </c>
      <c r="H24" s="2" t="s">
        <v>341</v>
      </c>
      <c r="I24" s="2"/>
      <c r="J24" s="2" t="s">
        <v>355</v>
      </c>
      <c r="K24" s="2" t="s">
        <v>142</v>
      </c>
      <c r="L24" s="2" t="s">
        <v>143</v>
      </c>
    </row>
    <row r="25" spans="1:12" ht="15" customHeight="1">
      <c r="A25" s="2">
        <v>24</v>
      </c>
      <c r="B25" s="2">
        <f t="shared" si="0"/>
        <v>1024</v>
      </c>
      <c r="C25" s="2" t="s">
        <v>365</v>
      </c>
      <c r="D25" s="2" t="s">
        <v>340</v>
      </c>
      <c r="E25" s="2">
        <f t="shared" si="1"/>
        <v>121.5</v>
      </c>
      <c r="F25" s="2">
        <v>3</v>
      </c>
      <c r="G25" s="2">
        <v>260</v>
      </c>
      <c r="H25" s="2" t="s">
        <v>341</v>
      </c>
      <c r="I25" s="2"/>
      <c r="J25" s="2" t="s">
        <v>355</v>
      </c>
      <c r="K25" s="2" t="s">
        <v>142</v>
      </c>
      <c r="L25" s="2" t="s">
        <v>143</v>
      </c>
    </row>
    <row r="26" spans="1:12" ht="15" customHeight="1">
      <c r="A26" s="2">
        <v>25</v>
      </c>
      <c r="B26" s="2">
        <f t="shared" si="0"/>
        <v>1025</v>
      </c>
      <c r="C26" s="2" t="s">
        <v>366</v>
      </c>
      <c r="D26" s="2" t="s">
        <v>340</v>
      </c>
      <c r="E26" s="2">
        <f t="shared" si="1"/>
        <v>123</v>
      </c>
      <c r="F26" s="2">
        <v>3</v>
      </c>
      <c r="G26" s="2">
        <v>265</v>
      </c>
      <c r="H26" s="2" t="s">
        <v>341</v>
      </c>
      <c r="I26" s="2"/>
      <c r="J26" s="2" t="s">
        <v>355</v>
      </c>
      <c r="K26" s="2" t="s">
        <v>142</v>
      </c>
      <c r="L26" s="2" t="s">
        <v>143</v>
      </c>
    </row>
    <row r="27" spans="1:12" ht="15" customHeight="1">
      <c r="A27" s="2">
        <v>26</v>
      </c>
      <c r="B27" s="2">
        <f t="shared" si="0"/>
        <v>1026</v>
      </c>
      <c r="C27" s="2" t="s">
        <v>367</v>
      </c>
      <c r="D27" s="2" t="s">
        <v>340</v>
      </c>
      <c r="E27" s="2">
        <f t="shared" si="1"/>
        <v>124.5</v>
      </c>
      <c r="F27" s="2">
        <v>3</v>
      </c>
      <c r="G27" s="2">
        <v>270</v>
      </c>
      <c r="H27" s="2" t="s">
        <v>341</v>
      </c>
      <c r="I27" s="2"/>
      <c r="J27" s="2" t="s">
        <v>355</v>
      </c>
      <c r="K27" s="2" t="s">
        <v>142</v>
      </c>
      <c r="L27" s="2" t="s">
        <v>143</v>
      </c>
    </row>
    <row r="28" spans="1:12" ht="15" customHeight="1">
      <c r="A28" s="2">
        <v>27</v>
      </c>
      <c r="B28" s="2">
        <f t="shared" si="0"/>
        <v>1027</v>
      </c>
      <c r="C28" s="2" t="s">
        <v>368</v>
      </c>
      <c r="D28" s="2" t="s">
        <v>340</v>
      </c>
      <c r="E28" s="2">
        <f t="shared" si="1"/>
        <v>126</v>
      </c>
      <c r="F28" s="2">
        <v>4</v>
      </c>
      <c r="G28" s="2">
        <v>275</v>
      </c>
      <c r="H28" s="2" t="s">
        <v>341</v>
      </c>
      <c r="I28" s="2"/>
      <c r="J28" s="2" t="s">
        <v>355</v>
      </c>
      <c r="K28" s="2" t="s">
        <v>142</v>
      </c>
      <c r="L28" s="2" t="s">
        <v>143</v>
      </c>
    </row>
    <row r="29" spans="1:12" ht="15" customHeight="1">
      <c r="A29" s="2">
        <v>28</v>
      </c>
      <c r="B29" s="2">
        <f t="shared" si="0"/>
        <v>1028</v>
      </c>
      <c r="C29" s="2" t="s">
        <v>369</v>
      </c>
      <c r="D29" s="2" t="s">
        <v>340</v>
      </c>
      <c r="E29" s="2">
        <f t="shared" si="1"/>
        <v>127.5</v>
      </c>
      <c r="F29" s="2">
        <v>3</v>
      </c>
      <c r="G29" s="2">
        <v>280</v>
      </c>
      <c r="H29" s="2" t="s">
        <v>341</v>
      </c>
      <c r="I29" s="2"/>
      <c r="J29" s="2" t="s">
        <v>355</v>
      </c>
      <c r="K29" s="2" t="s">
        <v>142</v>
      </c>
      <c r="L29" s="2" t="s">
        <v>143</v>
      </c>
    </row>
    <row r="30" spans="1:12" ht="15" customHeight="1">
      <c r="A30" s="2">
        <v>29</v>
      </c>
      <c r="B30" s="2">
        <f t="shared" si="0"/>
        <v>1029</v>
      </c>
      <c r="C30" s="2" t="s">
        <v>370</v>
      </c>
      <c r="D30" s="2" t="s">
        <v>340</v>
      </c>
      <c r="E30" s="2">
        <f t="shared" si="1"/>
        <v>129</v>
      </c>
      <c r="F30" s="2">
        <v>3</v>
      </c>
      <c r="G30" s="2">
        <v>285</v>
      </c>
      <c r="H30" s="2" t="s">
        <v>341</v>
      </c>
      <c r="I30" s="2"/>
      <c r="J30" s="2" t="s">
        <v>355</v>
      </c>
      <c r="K30" s="2" t="s">
        <v>142</v>
      </c>
      <c r="L30" s="2" t="s">
        <v>143</v>
      </c>
    </row>
    <row r="31" spans="1:12" ht="15" customHeight="1">
      <c r="A31" s="2">
        <v>30</v>
      </c>
      <c r="B31" s="2">
        <f t="shared" si="0"/>
        <v>1030</v>
      </c>
      <c r="C31" s="2" t="s">
        <v>371</v>
      </c>
      <c r="D31" s="2" t="s">
        <v>340</v>
      </c>
      <c r="E31" s="2">
        <f t="shared" si="1"/>
        <v>130.5</v>
      </c>
      <c r="F31" s="2">
        <v>4</v>
      </c>
      <c r="G31" s="2">
        <v>290</v>
      </c>
      <c r="H31" s="2" t="s">
        <v>341</v>
      </c>
      <c r="I31" s="2" t="s">
        <v>372</v>
      </c>
      <c r="J31" s="2" t="s">
        <v>355</v>
      </c>
      <c r="K31" s="2" t="s">
        <v>142</v>
      </c>
      <c r="L31" s="2" t="s">
        <v>143</v>
      </c>
    </row>
    <row r="32" spans="1:12" ht="15" customHeight="1">
      <c r="A32" s="2">
        <v>31</v>
      </c>
      <c r="B32" s="2">
        <f t="shared" si="0"/>
        <v>1031</v>
      </c>
      <c r="C32" s="2" t="s">
        <v>373</v>
      </c>
      <c r="D32" s="2" t="s">
        <v>340</v>
      </c>
      <c r="E32" s="2">
        <f t="shared" si="1"/>
        <v>132</v>
      </c>
      <c r="F32" s="2">
        <v>3</v>
      </c>
      <c r="G32" s="2">
        <v>295</v>
      </c>
      <c r="H32" s="2" t="s">
        <v>341</v>
      </c>
      <c r="I32" s="2"/>
      <c r="J32" s="2" t="s">
        <v>355</v>
      </c>
      <c r="K32" s="2" t="s">
        <v>142</v>
      </c>
      <c r="L32" s="2" t="s">
        <v>143</v>
      </c>
    </row>
    <row r="33" spans="1:12" ht="15" customHeight="1">
      <c r="A33" s="2">
        <v>32</v>
      </c>
      <c r="B33" s="2">
        <f t="shared" si="0"/>
        <v>1032</v>
      </c>
      <c r="C33" s="2" t="s">
        <v>374</v>
      </c>
      <c r="D33" s="2" t="s">
        <v>340</v>
      </c>
      <c r="E33" s="2">
        <f t="shared" si="1"/>
        <v>133.5</v>
      </c>
      <c r="F33" s="2">
        <v>3</v>
      </c>
      <c r="G33" s="2">
        <v>300</v>
      </c>
      <c r="H33" s="2" t="s">
        <v>341</v>
      </c>
      <c r="I33" s="2"/>
      <c r="J33" s="2" t="s">
        <v>355</v>
      </c>
      <c r="K33" s="2" t="s">
        <v>142</v>
      </c>
      <c r="L33" s="2" t="s">
        <v>143</v>
      </c>
    </row>
    <row r="34" spans="1:12" ht="15" customHeight="1">
      <c r="A34" s="2">
        <v>33</v>
      </c>
      <c r="B34" s="2">
        <f t="shared" ref="B34:B65" si="2">1001+A34-1</f>
        <v>1033</v>
      </c>
      <c r="C34" s="2" t="s">
        <v>375</v>
      </c>
      <c r="D34" s="2" t="s">
        <v>340</v>
      </c>
      <c r="E34" s="2">
        <f t="shared" ref="E34:E65" si="3">87+1.5*(A34-1)</f>
        <v>135</v>
      </c>
      <c r="F34" s="2">
        <v>5</v>
      </c>
      <c r="G34" s="2">
        <v>305</v>
      </c>
      <c r="H34" s="2" t="s">
        <v>341</v>
      </c>
      <c r="I34" s="2"/>
      <c r="J34" s="2" t="s">
        <v>355</v>
      </c>
      <c r="K34" s="2" t="s">
        <v>142</v>
      </c>
      <c r="L34" s="2" t="s">
        <v>143</v>
      </c>
    </row>
    <row r="35" spans="1:12" ht="15" customHeight="1">
      <c r="A35" s="2">
        <v>34</v>
      </c>
      <c r="B35" s="2">
        <f t="shared" si="2"/>
        <v>1034</v>
      </c>
      <c r="C35" s="2" t="s">
        <v>376</v>
      </c>
      <c r="D35" s="2" t="s">
        <v>340</v>
      </c>
      <c r="E35" s="2">
        <f t="shared" si="3"/>
        <v>136.5</v>
      </c>
      <c r="F35" s="2">
        <v>4</v>
      </c>
      <c r="G35" s="2">
        <v>310</v>
      </c>
      <c r="H35" s="2" t="s">
        <v>341</v>
      </c>
      <c r="I35" s="2"/>
      <c r="J35" s="2" t="s">
        <v>355</v>
      </c>
      <c r="K35" s="2" t="s">
        <v>142</v>
      </c>
      <c r="L35" s="2" t="s">
        <v>143</v>
      </c>
    </row>
    <row r="36" spans="1:12" ht="15" customHeight="1">
      <c r="A36" s="2">
        <v>35</v>
      </c>
      <c r="B36" s="2">
        <f t="shared" si="2"/>
        <v>1035</v>
      </c>
      <c r="C36" s="2" t="s">
        <v>377</v>
      </c>
      <c r="D36" s="2" t="s">
        <v>340</v>
      </c>
      <c r="E36" s="2">
        <f t="shared" si="3"/>
        <v>138</v>
      </c>
      <c r="F36" s="2">
        <v>4</v>
      </c>
      <c r="G36" s="2">
        <v>315</v>
      </c>
      <c r="H36" s="2" t="s">
        <v>341</v>
      </c>
      <c r="I36" s="2"/>
      <c r="J36" s="2" t="s">
        <v>355</v>
      </c>
      <c r="K36" s="2" t="s">
        <v>142</v>
      </c>
      <c r="L36" s="2" t="s">
        <v>143</v>
      </c>
    </row>
    <row r="37" spans="1:12" ht="15" customHeight="1">
      <c r="A37" s="2">
        <v>36</v>
      </c>
      <c r="B37" s="2">
        <f t="shared" si="2"/>
        <v>1036</v>
      </c>
      <c r="C37" s="2" t="s">
        <v>378</v>
      </c>
      <c r="D37" s="2" t="s">
        <v>340</v>
      </c>
      <c r="E37" s="2">
        <f t="shared" si="3"/>
        <v>139.5</v>
      </c>
      <c r="F37" s="2">
        <v>4</v>
      </c>
      <c r="G37" s="2">
        <v>320</v>
      </c>
      <c r="H37" s="2" t="s">
        <v>341</v>
      </c>
      <c r="I37" s="2"/>
      <c r="J37" s="2" t="s">
        <v>355</v>
      </c>
      <c r="K37" s="2" t="s">
        <v>142</v>
      </c>
      <c r="L37" s="2" t="s">
        <v>143</v>
      </c>
    </row>
    <row r="38" spans="1:12" ht="15" customHeight="1">
      <c r="A38" s="2">
        <v>37</v>
      </c>
      <c r="B38" s="2">
        <f t="shared" si="2"/>
        <v>1037</v>
      </c>
      <c r="C38" s="2" t="s">
        <v>379</v>
      </c>
      <c r="D38" s="2" t="s">
        <v>340</v>
      </c>
      <c r="E38" s="2">
        <f t="shared" si="3"/>
        <v>141</v>
      </c>
      <c r="F38" s="2">
        <v>4</v>
      </c>
      <c r="G38" s="2">
        <v>325</v>
      </c>
      <c r="H38" s="2" t="s">
        <v>341</v>
      </c>
      <c r="I38" s="2"/>
      <c r="J38" s="2" t="s">
        <v>355</v>
      </c>
      <c r="K38" s="2" t="s">
        <v>142</v>
      </c>
      <c r="L38" s="2" t="s">
        <v>143</v>
      </c>
    </row>
    <row r="39" spans="1:12" ht="15" customHeight="1">
      <c r="A39" s="2">
        <v>38</v>
      </c>
      <c r="B39" s="2">
        <f t="shared" si="2"/>
        <v>1038</v>
      </c>
      <c r="C39" s="2" t="s">
        <v>380</v>
      </c>
      <c r="D39" s="2" t="s">
        <v>340</v>
      </c>
      <c r="E39" s="2">
        <f t="shared" si="3"/>
        <v>142.5</v>
      </c>
      <c r="F39" s="2">
        <v>4</v>
      </c>
      <c r="G39" s="2">
        <v>330</v>
      </c>
      <c r="H39" s="2" t="s">
        <v>341</v>
      </c>
      <c r="I39" s="2"/>
      <c r="J39" s="2" t="s">
        <v>355</v>
      </c>
      <c r="K39" s="2" t="s">
        <v>142</v>
      </c>
      <c r="L39" s="2" t="s">
        <v>143</v>
      </c>
    </row>
    <row r="40" spans="1:12" ht="15" customHeight="1">
      <c r="A40" s="2">
        <v>39</v>
      </c>
      <c r="B40" s="2">
        <f t="shared" si="2"/>
        <v>1039</v>
      </c>
      <c r="C40" s="2" t="s">
        <v>381</v>
      </c>
      <c r="D40" s="2" t="s">
        <v>340</v>
      </c>
      <c r="E40" s="2">
        <f t="shared" si="3"/>
        <v>144</v>
      </c>
      <c r="F40" s="2">
        <v>4</v>
      </c>
      <c r="G40" s="2">
        <v>335</v>
      </c>
      <c r="H40" s="2" t="s">
        <v>341</v>
      </c>
      <c r="I40" s="2"/>
      <c r="J40" s="2" t="s">
        <v>355</v>
      </c>
      <c r="K40" s="2" t="s">
        <v>142</v>
      </c>
      <c r="L40" s="2" t="s">
        <v>143</v>
      </c>
    </row>
    <row r="41" spans="1:12" ht="15" customHeight="1">
      <c r="A41" s="2">
        <v>40</v>
      </c>
      <c r="B41" s="2">
        <f t="shared" si="2"/>
        <v>1040</v>
      </c>
      <c r="C41" s="2" t="s">
        <v>382</v>
      </c>
      <c r="D41" s="2" t="s">
        <v>340</v>
      </c>
      <c r="E41" s="2">
        <f t="shared" si="3"/>
        <v>145.5</v>
      </c>
      <c r="F41" s="2">
        <v>4</v>
      </c>
      <c r="G41" s="2">
        <v>340</v>
      </c>
      <c r="H41" s="2" t="s">
        <v>341</v>
      </c>
      <c r="I41" s="2"/>
      <c r="J41" s="2" t="s">
        <v>355</v>
      </c>
      <c r="K41" s="2" t="s">
        <v>142</v>
      </c>
      <c r="L41" s="2" t="s">
        <v>143</v>
      </c>
    </row>
    <row r="42" spans="1:12" ht="15" customHeight="1">
      <c r="A42" s="2">
        <v>41</v>
      </c>
      <c r="B42" s="2">
        <f t="shared" si="2"/>
        <v>1041</v>
      </c>
      <c r="C42" s="2" t="s">
        <v>383</v>
      </c>
      <c r="D42" s="2" t="s">
        <v>340</v>
      </c>
      <c r="E42" s="2">
        <f t="shared" si="3"/>
        <v>147</v>
      </c>
      <c r="F42" s="2">
        <v>4</v>
      </c>
      <c r="G42" s="2">
        <v>345</v>
      </c>
      <c r="H42" s="2" t="s">
        <v>341</v>
      </c>
      <c r="I42" s="2"/>
      <c r="J42" s="2" t="s">
        <v>355</v>
      </c>
      <c r="K42" s="2" t="s">
        <v>142</v>
      </c>
      <c r="L42" s="2" t="s">
        <v>143</v>
      </c>
    </row>
    <row r="43" spans="1:12" ht="15" customHeight="1">
      <c r="A43" s="2">
        <v>42</v>
      </c>
      <c r="B43" s="2">
        <f t="shared" si="2"/>
        <v>1042</v>
      </c>
      <c r="C43" s="2" t="s">
        <v>384</v>
      </c>
      <c r="D43" s="2" t="s">
        <v>340</v>
      </c>
      <c r="E43" s="2">
        <f t="shared" si="3"/>
        <v>148.5</v>
      </c>
      <c r="F43" s="2">
        <v>4</v>
      </c>
      <c r="G43" s="2">
        <v>350</v>
      </c>
      <c r="H43" s="2" t="s">
        <v>341</v>
      </c>
      <c r="I43" s="2"/>
      <c r="J43" s="2" t="s">
        <v>355</v>
      </c>
      <c r="K43" s="2" t="s">
        <v>142</v>
      </c>
      <c r="L43" s="2" t="s">
        <v>143</v>
      </c>
    </row>
    <row r="44" spans="1:12" ht="15" customHeight="1">
      <c r="A44" s="2">
        <v>43</v>
      </c>
      <c r="B44" s="2">
        <f t="shared" si="2"/>
        <v>1043</v>
      </c>
      <c r="C44" s="2" t="s">
        <v>385</v>
      </c>
      <c r="D44" s="2" t="s">
        <v>340</v>
      </c>
      <c r="E44" s="2">
        <f t="shared" si="3"/>
        <v>150</v>
      </c>
      <c r="F44" s="2">
        <v>4</v>
      </c>
      <c r="G44" s="2">
        <v>355</v>
      </c>
      <c r="H44" s="2" t="s">
        <v>341</v>
      </c>
      <c r="I44" s="2"/>
      <c r="J44" s="2" t="s">
        <v>355</v>
      </c>
      <c r="K44" s="2" t="s">
        <v>142</v>
      </c>
      <c r="L44" s="2" t="s">
        <v>143</v>
      </c>
    </row>
    <row r="45" spans="1:12" ht="15" customHeight="1">
      <c r="A45" s="2">
        <v>44</v>
      </c>
      <c r="B45" s="2">
        <f t="shared" si="2"/>
        <v>1044</v>
      </c>
      <c r="C45" s="2" t="s">
        <v>386</v>
      </c>
      <c r="D45" s="2" t="s">
        <v>340</v>
      </c>
      <c r="E45" s="2">
        <f t="shared" si="3"/>
        <v>151.5</v>
      </c>
      <c r="F45" s="2">
        <v>4</v>
      </c>
      <c r="G45" s="2">
        <v>360</v>
      </c>
      <c r="H45" s="2" t="s">
        <v>341</v>
      </c>
      <c r="I45" s="2"/>
      <c r="J45" s="2" t="s">
        <v>387</v>
      </c>
      <c r="K45" s="2" t="s">
        <v>142</v>
      </c>
      <c r="L45" s="2" t="s">
        <v>143</v>
      </c>
    </row>
    <row r="46" spans="1:12" ht="16" customHeight="1">
      <c r="A46" s="2">
        <v>45</v>
      </c>
      <c r="B46" s="2">
        <f t="shared" si="2"/>
        <v>1045</v>
      </c>
      <c r="C46" s="2" t="s">
        <v>388</v>
      </c>
      <c r="D46" s="2" t="s">
        <v>340</v>
      </c>
      <c r="E46" s="2">
        <f t="shared" si="3"/>
        <v>153</v>
      </c>
      <c r="F46" s="2">
        <v>4</v>
      </c>
      <c r="G46" s="2">
        <v>365</v>
      </c>
      <c r="H46" s="2" t="s">
        <v>341</v>
      </c>
      <c r="I46" s="4"/>
      <c r="J46" s="2" t="s">
        <v>387</v>
      </c>
      <c r="K46" s="2" t="s">
        <v>142</v>
      </c>
      <c r="L46" s="2" t="s">
        <v>143</v>
      </c>
    </row>
    <row r="47" spans="1:12" ht="15" customHeight="1">
      <c r="A47" s="2">
        <v>46</v>
      </c>
      <c r="B47" s="2">
        <f t="shared" si="2"/>
        <v>1046</v>
      </c>
      <c r="C47" s="2" t="s">
        <v>389</v>
      </c>
      <c r="D47" s="2" t="s">
        <v>340</v>
      </c>
      <c r="E47" s="2">
        <f t="shared" si="3"/>
        <v>154.5</v>
      </c>
      <c r="F47" s="2">
        <v>4</v>
      </c>
      <c r="G47" s="2">
        <v>370</v>
      </c>
      <c r="H47" s="2" t="s">
        <v>341</v>
      </c>
      <c r="I47" s="2"/>
      <c r="J47" s="2" t="s">
        <v>387</v>
      </c>
      <c r="K47" s="2" t="s">
        <v>142</v>
      </c>
      <c r="L47" s="2" t="s">
        <v>143</v>
      </c>
    </row>
    <row r="48" spans="1:12" ht="15" customHeight="1">
      <c r="A48" s="2">
        <v>47</v>
      </c>
      <c r="B48" s="2">
        <f t="shared" si="2"/>
        <v>1047</v>
      </c>
      <c r="C48" s="2" t="s">
        <v>390</v>
      </c>
      <c r="D48" s="2" t="s">
        <v>340</v>
      </c>
      <c r="E48" s="2">
        <f t="shared" si="3"/>
        <v>156</v>
      </c>
      <c r="F48" s="2">
        <v>4</v>
      </c>
      <c r="G48" s="2">
        <v>375</v>
      </c>
      <c r="H48" s="2" t="s">
        <v>341</v>
      </c>
      <c r="J48" s="2" t="s">
        <v>387</v>
      </c>
      <c r="K48" s="2" t="s">
        <v>142</v>
      </c>
      <c r="L48" s="2" t="s">
        <v>143</v>
      </c>
    </row>
    <row r="49" spans="1:12" ht="15" customHeight="1">
      <c r="A49" s="2">
        <v>48</v>
      </c>
      <c r="B49" s="2">
        <f t="shared" si="2"/>
        <v>1048</v>
      </c>
      <c r="C49" s="2" t="s">
        <v>391</v>
      </c>
      <c r="D49" s="2" t="s">
        <v>340</v>
      </c>
      <c r="E49" s="2">
        <f t="shared" si="3"/>
        <v>157.5</v>
      </c>
      <c r="F49" s="2">
        <v>4</v>
      </c>
      <c r="G49" s="2">
        <v>380</v>
      </c>
      <c r="H49" s="2" t="s">
        <v>341</v>
      </c>
      <c r="I49" s="2"/>
      <c r="J49" s="2" t="s">
        <v>387</v>
      </c>
      <c r="K49" s="2" t="s">
        <v>142</v>
      </c>
      <c r="L49" s="2" t="s">
        <v>143</v>
      </c>
    </row>
    <row r="50" spans="1:12" ht="15" customHeight="1">
      <c r="A50" s="2">
        <v>49</v>
      </c>
      <c r="B50" s="2">
        <f t="shared" si="2"/>
        <v>1049</v>
      </c>
      <c r="C50" s="2" t="s">
        <v>392</v>
      </c>
      <c r="D50" s="2" t="s">
        <v>340</v>
      </c>
      <c r="E50" s="2">
        <f t="shared" si="3"/>
        <v>159</v>
      </c>
      <c r="F50" s="2">
        <v>4</v>
      </c>
      <c r="G50" s="2">
        <v>385</v>
      </c>
      <c r="H50" s="2" t="s">
        <v>341</v>
      </c>
      <c r="I50" s="2"/>
      <c r="J50" s="2" t="s">
        <v>387</v>
      </c>
      <c r="K50" s="2" t="s">
        <v>142</v>
      </c>
      <c r="L50" s="2" t="s">
        <v>143</v>
      </c>
    </row>
    <row r="51" spans="1:12" ht="15" customHeight="1">
      <c r="A51" s="2">
        <v>50</v>
      </c>
      <c r="B51" s="2">
        <f t="shared" si="2"/>
        <v>1050</v>
      </c>
      <c r="C51" s="2" t="s">
        <v>393</v>
      </c>
      <c r="D51" s="2" t="s">
        <v>340</v>
      </c>
      <c r="E51" s="2">
        <f t="shared" si="3"/>
        <v>160.5</v>
      </c>
      <c r="F51" s="2">
        <v>3</v>
      </c>
      <c r="G51" s="2">
        <v>390</v>
      </c>
      <c r="H51" s="2" t="s">
        <v>341</v>
      </c>
      <c r="J51" s="2" t="s">
        <v>387</v>
      </c>
      <c r="K51" s="2" t="s">
        <v>142</v>
      </c>
      <c r="L51" s="2" t="s">
        <v>143</v>
      </c>
    </row>
    <row r="52" spans="1:12" ht="15" customHeight="1">
      <c r="A52" s="2">
        <v>51</v>
      </c>
      <c r="B52" s="2">
        <f t="shared" si="2"/>
        <v>1051</v>
      </c>
      <c r="C52" s="2" t="s">
        <v>394</v>
      </c>
      <c r="D52" s="2" t="s">
        <v>340</v>
      </c>
      <c r="E52" s="2">
        <f t="shared" si="3"/>
        <v>162</v>
      </c>
      <c r="F52" s="2">
        <v>4</v>
      </c>
      <c r="G52" s="2">
        <v>395</v>
      </c>
      <c r="H52" s="2" t="s">
        <v>341</v>
      </c>
      <c r="I52" s="2"/>
      <c r="J52" s="2" t="s">
        <v>387</v>
      </c>
      <c r="K52" s="2" t="s">
        <v>142</v>
      </c>
      <c r="L52" s="2" t="s">
        <v>143</v>
      </c>
    </row>
    <row r="53" spans="1:12" ht="15" customHeight="1">
      <c r="A53" s="2">
        <v>52</v>
      </c>
      <c r="B53" s="2">
        <f t="shared" si="2"/>
        <v>1052</v>
      </c>
      <c r="C53" s="2" t="s">
        <v>395</v>
      </c>
      <c r="D53" s="2" t="s">
        <v>340</v>
      </c>
      <c r="E53" s="2">
        <f t="shared" si="3"/>
        <v>163.5</v>
      </c>
      <c r="F53" s="2">
        <v>4</v>
      </c>
      <c r="G53" s="2">
        <v>400</v>
      </c>
      <c r="H53" s="2" t="s">
        <v>341</v>
      </c>
      <c r="I53" s="2"/>
      <c r="J53" s="2" t="s">
        <v>387</v>
      </c>
      <c r="K53" s="2" t="s">
        <v>142</v>
      </c>
      <c r="L53" s="2" t="s">
        <v>143</v>
      </c>
    </row>
    <row r="54" spans="1:12" ht="15" customHeight="1">
      <c r="A54" s="2">
        <v>53</v>
      </c>
      <c r="B54" s="2">
        <f t="shared" si="2"/>
        <v>1053</v>
      </c>
      <c r="C54" s="2" t="s">
        <v>396</v>
      </c>
      <c r="D54" s="2" t="s">
        <v>340</v>
      </c>
      <c r="E54" s="2">
        <f t="shared" si="3"/>
        <v>165</v>
      </c>
      <c r="F54" s="2">
        <v>4</v>
      </c>
      <c r="G54" s="2">
        <v>405</v>
      </c>
      <c r="H54" s="2" t="s">
        <v>341</v>
      </c>
      <c r="I54" s="2"/>
      <c r="J54" s="2" t="s">
        <v>387</v>
      </c>
      <c r="K54" s="2" t="s">
        <v>142</v>
      </c>
      <c r="L54" s="2" t="s">
        <v>143</v>
      </c>
    </row>
    <row r="55" spans="1:12" ht="15" customHeight="1">
      <c r="A55" s="2">
        <v>54</v>
      </c>
      <c r="B55" s="2">
        <f t="shared" si="2"/>
        <v>1054</v>
      </c>
      <c r="C55" s="2" t="s">
        <v>397</v>
      </c>
      <c r="D55" s="2" t="s">
        <v>340</v>
      </c>
      <c r="E55" s="2">
        <f t="shared" si="3"/>
        <v>166.5</v>
      </c>
      <c r="F55" s="2">
        <v>4</v>
      </c>
      <c r="G55" s="2">
        <v>410</v>
      </c>
      <c r="H55" s="2" t="s">
        <v>341</v>
      </c>
      <c r="I55" s="2"/>
      <c r="J55" s="2" t="s">
        <v>387</v>
      </c>
      <c r="K55" s="2" t="s">
        <v>142</v>
      </c>
      <c r="L55" s="2" t="s">
        <v>143</v>
      </c>
    </row>
    <row r="56" spans="1:12" ht="15" customHeight="1">
      <c r="A56" s="2">
        <v>55</v>
      </c>
      <c r="B56" s="2">
        <f t="shared" si="2"/>
        <v>1055</v>
      </c>
      <c r="C56" s="2" t="s">
        <v>398</v>
      </c>
      <c r="D56" s="2" t="s">
        <v>340</v>
      </c>
      <c r="E56" s="2">
        <f t="shared" si="3"/>
        <v>168</v>
      </c>
      <c r="F56" s="2">
        <v>4</v>
      </c>
      <c r="G56" s="2">
        <v>415</v>
      </c>
      <c r="H56" s="2" t="s">
        <v>341</v>
      </c>
      <c r="I56" s="2"/>
      <c r="J56" s="2" t="s">
        <v>387</v>
      </c>
      <c r="K56" s="2" t="s">
        <v>142</v>
      </c>
      <c r="L56" s="2" t="s">
        <v>143</v>
      </c>
    </row>
    <row r="57" spans="1:12" ht="15" customHeight="1">
      <c r="A57" s="2">
        <v>56</v>
      </c>
      <c r="B57" s="2">
        <f t="shared" si="2"/>
        <v>1056</v>
      </c>
      <c r="C57" s="2" t="s">
        <v>399</v>
      </c>
      <c r="D57" s="2" t="s">
        <v>340</v>
      </c>
      <c r="E57" s="2">
        <f t="shared" si="3"/>
        <v>169.5</v>
      </c>
      <c r="F57" s="2">
        <v>4</v>
      </c>
      <c r="G57" s="2">
        <v>420</v>
      </c>
      <c r="H57" s="2" t="s">
        <v>341</v>
      </c>
      <c r="I57" s="2"/>
      <c r="J57" s="2" t="s">
        <v>387</v>
      </c>
      <c r="K57" s="2" t="s">
        <v>142</v>
      </c>
      <c r="L57" s="2" t="s">
        <v>143</v>
      </c>
    </row>
    <row r="58" spans="1:12" ht="15" customHeight="1">
      <c r="A58" s="2">
        <v>57</v>
      </c>
      <c r="B58" s="2">
        <f t="shared" si="2"/>
        <v>1057</v>
      </c>
      <c r="C58" s="2" t="s">
        <v>400</v>
      </c>
      <c r="D58" s="2" t="s">
        <v>340</v>
      </c>
      <c r="E58" s="2">
        <f t="shared" si="3"/>
        <v>171</v>
      </c>
      <c r="F58" s="2">
        <v>4</v>
      </c>
      <c r="G58" s="2">
        <v>425</v>
      </c>
      <c r="H58" s="2" t="s">
        <v>341</v>
      </c>
      <c r="I58" s="2"/>
      <c r="J58" s="2" t="s">
        <v>387</v>
      </c>
      <c r="K58" s="2" t="s">
        <v>142</v>
      </c>
      <c r="L58" s="2" t="s">
        <v>143</v>
      </c>
    </row>
    <row r="59" spans="1:12" ht="15" customHeight="1">
      <c r="A59" s="2">
        <v>58</v>
      </c>
      <c r="B59" s="2">
        <f t="shared" si="2"/>
        <v>1058</v>
      </c>
      <c r="C59" s="2" t="s">
        <v>401</v>
      </c>
      <c r="D59" s="2" t="s">
        <v>340</v>
      </c>
      <c r="E59" s="2">
        <f t="shared" si="3"/>
        <v>172.5</v>
      </c>
      <c r="F59" s="2">
        <v>4</v>
      </c>
      <c r="G59" s="2">
        <v>430</v>
      </c>
      <c r="H59" s="2" t="s">
        <v>341</v>
      </c>
      <c r="I59" s="2"/>
      <c r="J59" s="2" t="s">
        <v>387</v>
      </c>
      <c r="K59" s="2" t="s">
        <v>142</v>
      </c>
      <c r="L59" s="2" t="s">
        <v>143</v>
      </c>
    </row>
    <row r="60" spans="1:12" ht="15" customHeight="1">
      <c r="A60" s="2">
        <v>59</v>
      </c>
      <c r="B60" s="2">
        <f t="shared" si="2"/>
        <v>1059</v>
      </c>
      <c r="C60" s="2" t="s">
        <v>402</v>
      </c>
      <c r="D60" s="2" t="s">
        <v>340</v>
      </c>
      <c r="E60" s="2">
        <f t="shared" si="3"/>
        <v>174</v>
      </c>
      <c r="F60" s="2">
        <v>4</v>
      </c>
      <c r="G60" s="2">
        <v>435</v>
      </c>
      <c r="H60" s="2" t="s">
        <v>341</v>
      </c>
      <c r="I60" s="2"/>
      <c r="J60" s="2" t="s">
        <v>387</v>
      </c>
      <c r="K60" s="2" t="s">
        <v>142</v>
      </c>
      <c r="L60" s="2" t="s">
        <v>143</v>
      </c>
    </row>
    <row r="61" spans="1:12" ht="15" customHeight="1">
      <c r="A61" s="2">
        <v>60</v>
      </c>
      <c r="B61" s="2">
        <f t="shared" si="2"/>
        <v>1060</v>
      </c>
      <c r="C61" s="2" t="s">
        <v>403</v>
      </c>
      <c r="D61" s="2" t="s">
        <v>340</v>
      </c>
      <c r="E61" s="2">
        <f t="shared" si="3"/>
        <v>175.5</v>
      </c>
      <c r="F61" s="2">
        <v>4</v>
      </c>
      <c r="G61" s="2">
        <v>440</v>
      </c>
      <c r="H61" s="2" t="s">
        <v>341</v>
      </c>
      <c r="I61" s="2"/>
      <c r="J61" s="2" t="s">
        <v>387</v>
      </c>
      <c r="K61" s="2" t="s">
        <v>142</v>
      </c>
      <c r="L61" s="2" t="s">
        <v>143</v>
      </c>
    </row>
    <row r="62" spans="1:12" ht="15" customHeight="1">
      <c r="A62" s="2">
        <v>61</v>
      </c>
      <c r="B62" s="2">
        <f t="shared" si="2"/>
        <v>1061</v>
      </c>
      <c r="C62" s="2" t="s">
        <v>404</v>
      </c>
      <c r="D62" s="2" t="s">
        <v>340</v>
      </c>
      <c r="E62" s="2">
        <f t="shared" si="3"/>
        <v>177</v>
      </c>
      <c r="F62" s="2">
        <v>4</v>
      </c>
      <c r="G62" s="2">
        <v>445</v>
      </c>
      <c r="H62" s="2" t="s">
        <v>341</v>
      </c>
      <c r="I62" s="2" t="s">
        <v>405</v>
      </c>
      <c r="J62" s="2" t="s">
        <v>387</v>
      </c>
      <c r="K62" s="2" t="s">
        <v>142</v>
      </c>
      <c r="L62" s="2" t="s">
        <v>143</v>
      </c>
    </row>
    <row r="63" spans="1:12" ht="15" customHeight="1">
      <c r="A63" s="2">
        <v>62</v>
      </c>
      <c r="B63" s="2">
        <f t="shared" si="2"/>
        <v>1062</v>
      </c>
      <c r="C63" s="2" t="s">
        <v>406</v>
      </c>
      <c r="D63" s="2" t="s">
        <v>340</v>
      </c>
      <c r="E63" s="2">
        <f t="shared" si="3"/>
        <v>178.5</v>
      </c>
      <c r="F63" s="2">
        <v>4</v>
      </c>
      <c r="G63" s="2">
        <v>450</v>
      </c>
      <c r="H63" s="2" t="s">
        <v>341</v>
      </c>
      <c r="I63" s="2" t="s">
        <v>407</v>
      </c>
      <c r="J63" s="2" t="s">
        <v>387</v>
      </c>
      <c r="K63" s="2" t="s">
        <v>142</v>
      </c>
      <c r="L63" s="2" t="s">
        <v>143</v>
      </c>
    </row>
    <row r="64" spans="1:12" ht="15" customHeight="1">
      <c r="A64" s="2">
        <v>63</v>
      </c>
      <c r="B64" s="2">
        <f t="shared" si="2"/>
        <v>1063</v>
      </c>
      <c r="C64" s="2" t="s">
        <v>408</v>
      </c>
      <c r="D64" s="2" t="s">
        <v>340</v>
      </c>
      <c r="E64" s="2">
        <f t="shared" si="3"/>
        <v>180</v>
      </c>
      <c r="F64" s="2">
        <v>4</v>
      </c>
      <c r="G64" s="2">
        <v>455</v>
      </c>
      <c r="H64" s="2" t="s">
        <v>341</v>
      </c>
      <c r="I64" s="2" t="s">
        <v>405</v>
      </c>
      <c r="J64" s="2" t="s">
        <v>387</v>
      </c>
      <c r="K64" s="2" t="s">
        <v>142</v>
      </c>
      <c r="L64" s="2" t="s">
        <v>143</v>
      </c>
    </row>
    <row r="65" spans="1:12" ht="15" customHeight="1">
      <c r="A65" s="2">
        <v>64</v>
      </c>
      <c r="B65" s="2">
        <f t="shared" si="2"/>
        <v>1064</v>
      </c>
      <c r="C65" s="2" t="s">
        <v>409</v>
      </c>
      <c r="D65" s="2" t="s">
        <v>340</v>
      </c>
      <c r="E65" s="2">
        <f t="shared" si="3"/>
        <v>181.5</v>
      </c>
      <c r="F65" s="2">
        <v>4</v>
      </c>
      <c r="G65" s="2">
        <v>460</v>
      </c>
      <c r="H65" s="2" t="s">
        <v>341</v>
      </c>
      <c r="I65" s="2"/>
      <c r="J65" s="2" t="s">
        <v>387</v>
      </c>
      <c r="K65" s="2" t="s">
        <v>142</v>
      </c>
      <c r="L65" s="2" t="s">
        <v>143</v>
      </c>
    </row>
    <row r="66" spans="1:12" ht="15" customHeight="1">
      <c r="A66" s="2">
        <v>65</v>
      </c>
      <c r="B66" s="2">
        <f t="shared" ref="B66:B84" si="4">1001+A66-1</f>
        <v>1065</v>
      </c>
      <c r="C66" s="2" t="s">
        <v>410</v>
      </c>
      <c r="D66" s="2" t="s">
        <v>340</v>
      </c>
      <c r="E66" s="2">
        <f t="shared" ref="E66:E84" si="5">87+1.5*(A66-1)</f>
        <v>183</v>
      </c>
      <c r="F66" s="2">
        <v>4</v>
      </c>
      <c r="G66" s="2">
        <v>465</v>
      </c>
      <c r="H66" s="2" t="s">
        <v>341</v>
      </c>
      <c r="I66" s="2" t="s">
        <v>411</v>
      </c>
      <c r="J66" s="2" t="s">
        <v>387</v>
      </c>
      <c r="K66" s="2" t="s">
        <v>142</v>
      </c>
      <c r="L66" s="2" t="s">
        <v>143</v>
      </c>
    </row>
    <row r="67" spans="1:12" ht="15" customHeight="1">
      <c r="A67" s="2">
        <v>66</v>
      </c>
      <c r="B67" s="2">
        <f t="shared" si="4"/>
        <v>1066</v>
      </c>
      <c r="C67" s="2" t="s">
        <v>412</v>
      </c>
      <c r="D67" s="2" t="s">
        <v>340</v>
      </c>
      <c r="E67" s="2">
        <f t="shared" si="5"/>
        <v>184.5</v>
      </c>
      <c r="F67" s="2">
        <v>4</v>
      </c>
      <c r="G67" s="2">
        <v>470</v>
      </c>
      <c r="H67" s="2" t="s">
        <v>341</v>
      </c>
      <c r="I67" s="2"/>
      <c r="J67" s="2" t="s">
        <v>387</v>
      </c>
      <c r="K67" s="2" t="s">
        <v>142</v>
      </c>
      <c r="L67" s="2" t="s">
        <v>143</v>
      </c>
    </row>
    <row r="68" spans="1:12" ht="15" customHeight="1">
      <c r="A68" s="2">
        <v>67</v>
      </c>
      <c r="B68" s="2">
        <f t="shared" si="4"/>
        <v>1067</v>
      </c>
      <c r="C68" s="2" t="s">
        <v>413</v>
      </c>
      <c r="D68" s="2" t="s">
        <v>340</v>
      </c>
      <c r="E68" s="2">
        <f t="shared" si="5"/>
        <v>186</v>
      </c>
      <c r="F68" s="2">
        <v>4</v>
      </c>
      <c r="G68" s="2">
        <v>475</v>
      </c>
      <c r="H68" s="2" t="s">
        <v>341</v>
      </c>
      <c r="I68" s="2" t="s">
        <v>405</v>
      </c>
      <c r="J68" s="2" t="s">
        <v>387</v>
      </c>
      <c r="K68" s="2" t="s">
        <v>142</v>
      </c>
      <c r="L68" s="2" t="s">
        <v>143</v>
      </c>
    </row>
    <row r="69" spans="1:12" ht="15" customHeight="1">
      <c r="A69" s="2">
        <v>68</v>
      </c>
      <c r="B69" s="2">
        <f t="shared" si="4"/>
        <v>1068</v>
      </c>
      <c r="C69" s="2" t="s">
        <v>414</v>
      </c>
      <c r="D69" s="2" t="s">
        <v>340</v>
      </c>
      <c r="E69" s="2">
        <f t="shared" si="5"/>
        <v>187.5</v>
      </c>
      <c r="F69" s="2">
        <v>4</v>
      </c>
      <c r="G69" s="2">
        <v>480</v>
      </c>
      <c r="H69" s="2" t="s">
        <v>341</v>
      </c>
      <c r="I69" s="2" t="s">
        <v>405</v>
      </c>
      <c r="J69" s="2" t="s">
        <v>387</v>
      </c>
      <c r="K69" s="2" t="s">
        <v>142</v>
      </c>
      <c r="L69" s="2" t="s">
        <v>143</v>
      </c>
    </row>
    <row r="70" spans="1:12" ht="15" customHeight="1">
      <c r="A70" s="2">
        <v>69</v>
      </c>
      <c r="B70" s="2">
        <f t="shared" si="4"/>
        <v>1069</v>
      </c>
      <c r="C70" s="2" t="s">
        <v>415</v>
      </c>
      <c r="D70" s="2" t="s">
        <v>340</v>
      </c>
      <c r="E70" s="2">
        <f t="shared" si="5"/>
        <v>189</v>
      </c>
      <c r="F70" s="2">
        <v>4</v>
      </c>
      <c r="G70" s="2">
        <v>485</v>
      </c>
      <c r="H70" s="2" t="s">
        <v>341</v>
      </c>
      <c r="I70" s="2"/>
      <c r="J70" s="2" t="s">
        <v>387</v>
      </c>
      <c r="K70" s="2" t="s">
        <v>142</v>
      </c>
      <c r="L70" s="2" t="s">
        <v>143</v>
      </c>
    </row>
    <row r="71" spans="1:12" ht="15" customHeight="1">
      <c r="A71" s="2">
        <v>70</v>
      </c>
      <c r="B71" s="2">
        <f t="shared" si="4"/>
        <v>1070</v>
      </c>
      <c r="C71" s="2" t="s">
        <v>416</v>
      </c>
      <c r="D71" s="2" t="s">
        <v>340</v>
      </c>
      <c r="E71" s="2">
        <f t="shared" si="5"/>
        <v>190.5</v>
      </c>
      <c r="F71" s="2">
        <v>4</v>
      </c>
      <c r="G71" s="2">
        <v>490</v>
      </c>
      <c r="H71" s="2" t="s">
        <v>341</v>
      </c>
      <c r="I71" s="2" t="s">
        <v>417</v>
      </c>
      <c r="J71" s="2" t="s">
        <v>387</v>
      </c>
      <c r="K71" s="2" t="s">
        <v>142</v>
      </c>
      <c r="L71" s="2" t="s">
        <v>143</v>
      </c>
    </row>
    <row r="72" spans="1:12" ht="15" customHeight="1">
      <c r="A72" s="2">
        <v>71</v>
      </c>
      <c r="B72" s="2">
        <f t="shared" si="4"/>
        <v>1071</v>
      </c>
      <c r="C72" s="2" t="s">
        <v>418</v>
      </c>
      <c r="D72" s="2" t="s">
        <v>340</v>
      </c>
      <c r="E72" s="2">
        <f t="shared" si="5"/>
        <v>192</v>
      </c>
      <c r="F72" s="2">
        <v>5</v>
      </c>
      <c r="G72" s="2">
        <v>495</v>
      </c>
      <c r="H72" s="2" t="s">
        <v>341</v>
      </c>
      <c r="I72" s="2"/>
      <c r="J72" s="2" t="s">
        <v>387</v>
      </c>
      <c r="K72" s="2" t="s">
        <v>142</v>
      </c>
      <c r="L72" s="2" t="s">
        <v>143</v>
      </c>
    </row>
    <row r="73" spans="1:12" ht="15" customHeight="1">
      <c r="A73" s="2">
        <v>72</v>
      </c>
      <c r="B73" s="2">
        <f t="shared" si="4"/>
        <v>1072</v>
      </c>
      <c r="C73" s="2" t="s">
        <v>419</v>
      </c>
      <c r="D73" s="2" t="s">
        <v>340</v>
      </c>
      <c r="E73" s="2">
        <f t="shared" si="5"/>
        <v>193.5</v>
      </c>
      <c r="F73" s="2">
        <v>4</v>
      </c>
      <c r="G73" s="2">
        <v>500</v>
      </c>
      <c r="H73" s="2" t="s">
        <v>341</v>
      </c>
      <c r="I73" s="2"/>
      <c r="J73" s="2" t="s">
        <v>387</v>
      </c>
      <c r="K73" s="2" t="s">
        <v>142</v>
      </c>
      <c r="L73" s="2" t="s">
        <v>143</v>
      </c>
    </row>
    <row r="74" spans="1:12" ht="15" customHeight="1">
      <c r="A74" s="2">
        <v>73</v>
      </c>
      <c r="B74" s="2">
        <f t="shared" si="4"/>
        <v>1073</v>
      </c>
      <c r="C74" s="2" t="s">
        <v>420</v>
      </c>
      <c r="D74" s="2" t="s">
        <v>340</v>
      </c>
      <c r="E74" s="2">
        <f t="shared" si="5"/>
        <v>195</v>
      </c>
      <c r="F74" s="2">
        <v>4</v>
      </c>
      <c r="G74" s="2">
        <v>505</v>
      </c>
      <c r="H74" s="2" t="s">
        <v>341</v>
      </c>
      <c r="I74" s="2"/>
      <c r="J74" s="2" t="s">
        <v>387</v>
      </c>
      <c r="K74" s="2" t="s">
        <v>142</v>
      </c>
      <c r="L74" s="2" t="s">
        <v>143</v>
      </c>
    </row>
    <row r="75" spans="1:12" ht="15" customHeight="1">
      <c r="A75" s="2">
        <v>74</v>
      </c>
      <c r="B75" s="2">
        <f t="shared" si="4"/>
        <v>1074</v>
      </c>
      <c r="C75" s="2" t="s">
        <v>421</v>
      </c>
      <c r="D75" s="2" t="s">
        <v>340</v>
      </c>
      <c r="E75" s="2">
        <f t="shared" si="5"/>
        <v>196.5</v>
      </c>
      <c r="F75" s="2">
        <v>4</v>
      </c>
      <c r="G75" s="2">
        <v>510</v>
      </c>
      <c r="H75" s="2" t="s">
        <v>341</v>
      </c>
      <c r="I75" s="2"/>
      <c r="J75" s="2" t="s">
        <v>422</v>
      </c>
      <c r="K75" s="2" t="s">
        <v>142</v>
      </c>
      <c r="L75" s="2" t="s">
        <v>143</v>
      </c>
    </row>
    <row r="76" spans="1:12" ht="15" customHeight="1">
      <c r="A76" s="2">
        <v>75</v>
      </c>
      <c r="B76" s="2">
        <f t="shared" si="4"/>
        <v>1075</v>
      </c>
      <c r="C76" s="2" t="s">
        <v>423</v>
      </c>
      <c r="D76" s="2" t="s">
        <v>340</v>
      </c>
      <c r="E76" s="2">
        <f t="shared" si="5"/>
        <v>198</v>
      </c>
      <c r="F76" s="2">
        <v>4</v>
      </c>
      <c r="G76" s="2">
        <v>515</v>
      </c>
      <c r="H76" s="2" t="s">
        <v>341</v>
      </c>
      <c r="I76" s="2"/>
      <c r="J76" s="2" t="s">
        <v>422</v>
      </c>
      <c r="K76" s="2" t="s">
        <v>142</v>
      </c>
      <c r="L76" s="2" t="s">
        <v>143</v>
      </c>
    </row>
    <row r="77" spans="1:12" ht="15" customHeight="1">
      <c r="A77" s="2">
        <v>76</v>
      </c>
      <c r="B77" s="2">
        <f t="shared" si="4"/>
        <v>1076</v>
      </c>
      <c r="C77" s="2" t="s">
        <v>424</v>
      </c>
      <c r="D77" s="2" t="s">
        <v>340</v>
      </c>
      <c r="E77" s="2">
        <f t="shared" si="5"/>
        <v>199.5</v>
      </c>
      <c r="F77" s="2">
        <v>4</v>
      </c>
      <c r="G77" s="2">
        <v>520</v>
      </c>
      <c r="H77" s="2" t="s">
        <v>341</v>
      </c>
      <c r="I77" s="2"/>
      <c r="J77" s="2" t="s">
        <v>422</v>
      </c>
      <c r="K77" s="2" t="s">
        <v>142</v>
      </c>
      <c r="L77" s="2" t="s">
        <v>143</v>
      </c>
    </row>
    <row r="78" spans="1:12" ht="15" customHeight="1">
      <c r="A78" s="2">
        <v>77</v>
      </c>
      <c r="B78" s="2">
        <f t="shared" si="4"/>
        <v>1077</v>
      </c>
      <c r="C78" s="2" t="s">
        <v>425</v>
      </c>
      <c r="D78" s="2" t="s">
        <v>340</v>
      </c>
      <c r="E78" s="2">
        <f t="shared" si="5"/>
        <v>201</v>
      </c>
      <c r="F78" s="2">
        <v>4</v>
      </c>
      <c r="G78" s="2">
        <v>525</v>
      </c>
      <c r="H78" s="2" t="s">
        <v>341</v>
      </c>
      <c r="I78" s="2"/>
      <c r="J78" s="2" t="s">
        <v>422</v>
      </c>
      <c r="K78" s="2" t="s">
        <v>142</v>
      </c>
      <c r="L78" s="2" t="s">
        <v>143</v>
      </c>
    </row>
    <row r="79" spans="1:12" ht="15" customHeight="1">
      <c r="A79" s="2">
        <v>78</v>
      </c>
      <c r="B79" s="2">
        <f t="shared" si="4"/>
        <v>1078</v>
      </c>
      <c r="C79" s="2" t="s">
        <v>426</v>
      </c>
      <c r="D79" s="2" t="s">
        <v>340</v>
      </c>
      <c r="E79" s="2">
        <f t="shared" si="5"/>
        <v>202.5</v>
      </c>
      <c r="F79" s="2">
        <v>4</v>
      </c>
      <c r="G79" s="2">
        <v>530</v>
      </c>
      <c r="H79" s="2" t="s">
        <v>341</v>
      </c>
      <c r="I79" s="2"/>
      <c r="J79" s="2" t="s">
        <v>422</v>
      </c>
      <c r="K79" s="2" t="s">
        <v>142</v>
      </c>
      <c r="L79" s="2" t="s">
        <v>143</v>
      </c>
    </row>
    <row r="80" spans="1:12" ht="15" customHeight="1">
      <c r="A80" s="2">
        <v>79</v>
      </c>
      <c r="B80" s="2">
        <f t="shared" si="4"/>
        <v>1079</v>
      </c>
      <c r="C80" s="2" t="s">
        <v>427</v>
      </c>
      <c r="D80" s="2" t="s">
        <v>340</v>
      </c>
      <c r="E80" s="2">
        <f t="shared" si="5"/>
        <v>204</v>
      </c>
      <c r="F80" s="2">
        <v>4</v>
      </c>
      <c r="G80" s="2">
        <v>535</v>
      </c>
      <c r="H80" s="2" t="s">
        <v>341</v>
      </c>
      <c r="I80" s="2"/>
      <c r="J80" s="2" t="s">
        <v>422</v>
      </c>
      <c r="K80" s="2" t="s">
        <v>142</v>
      </c>
      <c r="L80" s="2" t="s">
        <v>143</v>
      </c>
    </row>
    <row r="81" spans="1:12" ht="15" customHeight="1">
      <c r="A81" s="2">
        <v>80</v>
      </c>
      <c r="B81" s="2">
        <f t="shared" si="4"/>
        <v>1080</v>
      </c>
      <c r="C81" s="2" t="s">
        <v>428</v>
      </c>
      <c r="D81" s="2" t="s">
        <v>340</v>
      </c>
      <c r="E81" s="2">
        <f t="shared" si="5"/>
        <v>205.5</v>
      </c>
      <c r="F81" s="2">
        <v>4</v>
      </c>
      <c r="G81" s="2">
        <v>540</v>
      </c>
      <c r="H81" s="2" t="s">
        <v>341</v>
      </c>
      <c r="I81" s="2"/>
      <c r="J81" s="2" t="s">
        <v>422</v>
      </c>
      <c r="K81" s="2" t="s">
        <v>142</v>
      </c>
      <c r="L81" s="2" t="s">
        <v>143</v>
      </c>
    </row>
    <row r="82" spans="1:12" ht="15" customHeight="1">
      <c r="A82" s="2">
        <v>81</v>
      </c>
      <c r="B82" s="2">
        <f t="shared" si="4"/>
        <v>1081</v>
      </c>
      <c r="C82" s="2" t="s">
        <v>429</v>
      </c>
      <c r="D82" s="2" t="s">
        <v>340</v>
      </c>
      <c r="E82" s="2">
        <f t="shared" si="5"/>
        <v>207</v>
      </c>
      <c r="F82" s="2">
        <v>4</v>
      </c>
      <c r="G82" s="2">
        <v>545</v>
      </c>
      <c r="H82" s="2" t="s">
        <v>341</v>
      </c>
      <c r="I82" s="2"/>
      <c r="J82" s="2" t="s">
        <v>422</v>
      </c>
      <c r="K82" s="2" t="s">
        <v>142</v>
      </c>
      <c r="L82" s="2" t="s">
        <v>143</v>
      </c>
    </row>
    <row r="83" spans="1:12" ht="15" customHeight="1">
      <c r="A83" s="2">
        <v>82</v>
      </c>
      <c r="B83" s="2">
        <f t="shared" si="4"/>
        <v>1082</v>
      </c>
      <c r="C83" s="2" t="s">
        <v>430</v>
      </c>
      <c r="D83" s="2" t="s">
        <v>340</v>
      </c>
      <c r="E83" s="2">
        <f t="shared" si="5"/>
        <v>208.5</v>
      </c>
      <c r="F83" s="2">
        <v>4</v>
      </c>
      <c r="G83" s="2">
        <v>550</v>
      </c>
      <c r="H83" s="2" t="s">
        <v>341</v>
      </c>
      <c r="I83" s="2"/>
      <c r="J83" s="2" t="s">
        <v>422</v>
      </c>
      <c r="K83" s="2" t="s">
        <v>142</v>
      </c>
      <c r="L83" s="2" t="s">
        <v>143</v>
      </c>
    </row>
    <row r="84" spans="1:12" ht="15" customHeight="1">
      <c r="A84" s="2">
        <v>83</v>
      </c>
      <c r="B84" s="2">
        <f t="shared" si="4"/>
        <v>1083</v>
      </c>
      <c r="C84" s="2" t="s">
        <v>431</v>
      </c>
      <c r="D84" s="2" t="s">
        <v>340</v>
      </c>
      <c r="E84" s="2">
        <f t="shared" si="5"/>
        <v>210</v>
      </c>
      <c r="F84" s="2">
        <v>4</v>
      </c>
      <c r="G84" s="2">
        <v>555</v>
      </c>
      <c r="H84" s="2" t="s">
        <v>341</v>
      </c>
      <c r="I84" s="2"/>
      <c r="J84" s="2" t="s">
        <v>422</v>
      </c>
      <c r="K84" s="2" t="s">
        <v>142</v>
      </c>
      <c r="L84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8"/>
  <sheetViews>
    <sheetView workbookViewId="0">
      <selection activeCell="C34" sqref="C34"/>
    </sheetView>
  </sheetViews>
  <sheetFormatPr baseColWidth="10" defaultColWidth="8.83203125" defaultRowHeight="14"/>
  <cols>
    <col min="1" max="3" width="10" customWidth="1"/>
    <col min="4" max="4" width="28" customWidth="1"/>
    <col min="5" max="5" width="16" customWidth="1"/>
    <col min="6" max="6" width="10" customWidth="1"/>
    <col min="7" max="7" width="18" customWidth="1"/>
    <col min="8" max="8" width="12" customWidth="1"/>
    <col min="9" max="9" width="60" customWidth="1"/>
    <col min="10" max="10" width="15" customWidth="1"/>
    <col min="11" max="11" width="12" customWidth="1"/>
    <col min="12" max="12" width="15" customWidth="1"/>
    <col min="13" max="14" width="22" customWidth="1"/>
    <col min="15" max="16" width="16" customWidth="1"/>
    <col min="17" max="17" width="22" customWidth="1"/>
    <col min="18" max="22" width="16" customWidth="1"/>
    <col min="23" max="23" width="22" customWidth="1"/>
    <col min="24" max="24" width="16" customWidth="1"/>
    <col min="25" max="25" width="22" customWidth="1"/>
  </cols>
  <sheetData>
    <row r="1" spans="1:2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ht="45" customHeight="1">
      <c r="A2" s="2">
        <v>1</v>
      </c>
      <c r="B2" s="2">
        <v>2001</v>
      </c>
      <c r="C2" s="2" t="s">
        <v>344</v>
      </c>
      <c r="D2" s="2" t="s">
        <v>432</v>
      </c>
      <c r="E2" s="2">
        <v>106</v>
      </c>
      <c r="F2" s="2">
        <v>4</v>
      </c>
      <c r="G2" s="2">
        <v>145</v>
      </c>
      <c r="H2" s="2" t="s">
        <v>341</v>
      </c>
      <c r="I2" s="2" t="s">
        <v>433</v>
      </c>
      <c r="J2" s="2" t="s">
        <v>434</v>
      </c>
      <c r="K2" s="2" t="s">
        <v>142</v>
      </c>
      <c r="L2" s="2" t="s">
        <v>143</v>
      </c>
      <c r="M2" s="5">
        <v>46159.416712962957</v>
      </c>
      <c r="N2" t="s">
        <v>435</v>
      </c>
      <c r="O2" s="6">
        <v>46159</v>
      </c>
      <c r="P2" t="s">
        <v>436</v>
      </c>
      <c r="Q2" t="s">
        <v>437</v>
      </c>
      <c r="R2" t="b">
        <v>1</v>
      </c>
      <c r="S2" t="s">
        <v>40</v>
      </c>
      <c r="T2">
        <v>24</v>
      </c>
      <c r="U2">
        <v>2000</v>
      </c>
      <c r="V2">
        <v>1.9995000000000001</v>
      </c>
      <c r="W2" t="s">
        <v>41</v>
      </c>
      <c r="X2" t="s">
        <v>42</v>
      </c>
      <c r="Y2" t="s">
        <v>43</v>
      </c>
    </row>
    <row r="3" spans="1:25" ht="15" customHeight="1">
      <c r="A3" s="2">
        <v>2</v>
      </c>
      <c r="B3" s="2">
        <v>2002</v>
      </c>
      <c r="C3" s="2" t="s">
        <v>344</v>
      </c>
      <c r="D3" s="2" t="s">
        <v>432</v>
      </c>
      <c r="E3" s="2">
        <v>107.5</v>
      </c>
      <c r="F3" s="2">
        <v>4</v>
      </c>
      <c r="G3" s="2">
        <v>150</v>
      </c>
      <c r="H3" s="2" t="s">
        <v>341</v>
      </c>
      <c r="I3" s="2"/>
      <c r="J3" s="2" t="s">
        <v>434</v>
      </c>
      <c r="K3" s="2" t="s">
        <v>142</v>
      </c>
      <c r="L3" s="2" t="s">
        <v>143</v>
      </c>
      <c r="M3" s="5">
        <v>46159.42292824074</v>
      </c>
      <c r="N3" t="s">
        <v>438</v>
      </c>
      <c r="O3" s="6">
        <v>46159</v>
      </c>
      <c r="P3" t="s">
        <v>436</v>
      </c>
      <c r="Q3" t="s">
        <v>439</v>
      </c>
      <c r="R3" t="b">
        <v>1</v>
      </c>
      <c r="S3" t="s">
        <v>40</v>
      </c>
      <c r="T3">
        <v>24</v>
      </c>
      <c r="U3">
        <v>2000</v>
      </c>
      <c r="V3">
        <v>1.9995000000000001</v>
      </c>
      <c r="W3" t="s">
        <v>41</v>
      </c>
      <c r="X3" t="s">
        <v>42</v>
      </c>
      <c r="Y3" t="s">
        <v>43</v>
      </c>
    </row>
    <row r="4" spans="1:25" ht="15" customHeight="1">
      <c r="A4" s="2">
        <v>3</v>
      </c>
      <c r="B4" s="2">
        <v>2003</v>
      </c>
      <c r="C4" s="2" t="s">
        <v>344</v>
      </c>
      <c r="D4" s="2" t="s">
        <v>432</v>
      </c>
      <c r="E4" s="2">
        <v>109</v>
      </c>
      <c r="F4" s="2">
        <v>4</v>
      </c>
      <c r="G4" s="2">
        <v>155</v>
      </c>
      <c r="H4" s="2" t="s">
        <v>341</v>
      </c>
      <c r="I4" s="2"/>
      <c r="J4" s="2" t="s">
        <v>434</v>
      </c>
      <c r="K4" s="2" t="s">
        <v>142</v>
      </c>
      <c r="L4" s="2" t="s">
        <v>143</v>
      </c>
      <c r="M4" s="5">
        <v>46159.425983796304</v>
      </c>
      <c r="N4" t="s">
        <v>440</v>
      </c>
      <c r="O4" s="6">
        <v>46159</v>
      </c>
      <c r="P4" t="s">
        <v>436</v>
      </c>
      <c r="Q4" t="s">
        <v>441</v>
      </c>
      <c r="R4" t="b">
        <v>1</v>
      </c>
      <c r="S4" t="s">
        <v>40</v>
      </c>
      <c r="T4">
        <v>24</v>
      </c>
      <c r="U4">
        <v>2000</v>
      </c>
      <c r="V4">
        <v>1.9995000000000001</v>
      </c>
      <c r="W4" t="s">
        <v>41</v>
      </c>
      <c r="X4" t="s">
        <v>42</v>
      </c>
      <c r="Y4" t="s">
        <v>43</v>
      </c>
    </row>
    <row r="5" spans="1:25" ht="15" customHeight="1">
      <c r="A5" s="2">
        <v>4</v>
      </c>
      <c r="B5" s="2">
        <v>2004</v>
      </c>
      <c r="C5" s="2" t="s">
        <v>344</v>
      </c>
      <c r="D5" s="2" t="s">
        <v>432</v>
      </c>
      <c r="E5" s="2">
        <v>110.5</v>
      </c>
      <c r="F5" s="2">
        <v>4</v>
      </c>
      <c r="G5" s="2">
        <v>160</v>
      </c>
      <c r="H5" s="2" t="s">
        <v>341</v>
      </c>
      <c r="I5" s="2"/>
      <c r="J5" s="2" t="s">
        <v>434</v>
      </c>
      <c r="K5" s="2" t="s">
        <v>142</v>
      </c>
      <c r="L5" s="2" t="s">
        <v>143</v>
      </c>
      <c r="M5" s="5">
        <v>46159.427523148152</v>
      </c>
      <c r="N5" t="s">
        <v>442</v>
      </c>
      <c r="O5" s="6">
        <v>46159</v>
      </c>
      <c r="P5" t="s">
        <v>436</v>
      </c>
      <c r="Q5" t="s">
        <v>443</v>
      </c>
      <c r="R5" t="b">
        <v>1</v>
      </c>
      <c r="S5" t="s">
        <v>40</v>
      </c>
      <c r="T5">
        <v>24</v>
      </c>
      <c r="U5">
        <v>2000</v>
      </c>
      <c r="V5">
        <v>1.9995000000000001</v>
      </c>
      <c r="W5" t="s">
        <v>41</v>
      </c>
      <c r="X5" t="s">
        <v>42</v>
      </c>
      <c r="Y5" t="s">
        <v>43</v>
      </c>
    </row>
    <row r="6" spans="1:25" ht="15" customHeight="1">
      <c r="A6" s="2">
        <v>5</v>
      </c>
      <c r="B6" s="2">
        <v>2005</v>
      </c>
      <c r="C6" s="2" t="s">
        <v>344</v>
      </c>
      <c r="D6" s="2" t="s">
        <v>432</v>
      </c>
      <c r="E6" s="2">
        <v>112</v>
      </c>
      <c r="F6" s="2">
        <v>4</v>
      </c>
      <c r="G6" s="2">
        <v>165</v>
      </c>
      <c r="H6" s="2" t="s">
        <v>341</v>
      </c>
      <c r="I6" s="2"/>
      <c r="J6" s="2" t="s">
        <v>434</v>
      </c>
      <c r="K6" s="2" t="s">
        <v>142</v>
      </c>
      <c r="L6" s="2" t="s">
        <v>143</v>
      </c>
      <c r="M6" s="5">
        <v>46159.429884259262</v>
      </c>
      <c r="N6" t="s">
        <v>444</v>
      </c>
      <c r="O6" s="6">
        <v>46159</v>
      </c>
      <c r="P6" t="s">
        <v>436</v>
      </c>
      <c r="Q6" t="s">
        <v>445</v>
      </c>
      <c r="R6" t="b">
        <v>1</v>
      </c>
      <c r="S6" t="s">
        <v>40</v>
      </c>
      <c r="T6">
        <v>24</v>
      </c>
      <c r="U6">
        <v>2000</v>
      </c>
      <c r="V6">
        <v>1.9995000000000001</v>
      </c>
      <c r="W6" t="s">
        <v>41</v>
      </c>
      <c r="X6" t="s">
        <v>42</v>
      </c>
      <c r="Y6" t="s">
        <v>43</v>
      </c>
    </row>
    <row r="7" spans="1:25" ht="15" customHeight="1">
      <c r="A7" s="2">
        <v>6</v>
      </c>
      <c r="B7" s="2">
        <v>2006</v>
      </c>
      <c r="C7" s="2" t="s">
        <v>344</v>
      </c>
      <c r="D7" s="2" t="s">
        <v>432</v>
      </c>
      <c r="E7" s="2">
        <v>113.5</v>
      </c>
      <c r="F7" s="2">
        <v>4</v>
      </c>
      <c r="G7" s="2">
        <v>170</v>
      </c>
      <c r="H7" s="2" t="s">
        <v>341</v>
      </c>
      <c r="I7" s="2"/>
      <c r="J7" s="2" t="s">
        <v>434</v>
      </c>
      <c r="K7" s="2" t="s">
        <v>142</v>
      </c>
      <c r="L7" s="2" t="s">
        <v>143</v>
      </c>
      <c r="M7" s="5">
        <v>46159.433680555558</v>
      </c>
      <c r="N7" t="s">
        <v>446</v>
      </c>
      <c r="O7" s="6">
        <v>46159</v>
      </c>
      <c r="P7" t="s">
        <v>436</v>
      </c>
      <c r="Q7" t="s">
        <v>447</v>
      </c>
      <c r="R7" t="b">
        <v>1</v>
      </c>
      <c r="S7" t="s">
        <v>40</v>
      </c>
      <c r="T7">
        <v>24</v>
      </c>
      <c r="U7">
        <v>2000</v>
      </c>
      <c r="V7">
        <v>1.9995000000000001</v>
      </c>
      <c r="W7" t="s">
        <v>41</v>
      </c>
      <c r="X7" t="s">
        <v>42</v>
      </c>
      <c r="Y7" t="s">
        <v>43</v>
      </c>
    </row>
    <row r="8" spans="1:25" ht="15" customHeight="1">
      <c r="A8" s="2">
        <v>7</v>
      </c>
      <c r="B8" s="2">
        <v>2007</v>
      </c>
      <c r="C8" s="2" t="s">
        <v>344</v>
      </c>
      <c r="D8" s="2" t="s">
        <v>432</v>
      </c>
      <c r="E8" s="2">
        <v>115</v>
      </c>
      <c r="F8" s="2">
        <v>4</v>
      </c>
      <c r="G8" s="2">
        <v>175</v>
      </c>
      <c r="H8" s="2" t="s">
        <v>341</v>
      </c>
      <c r="I8" s="2"/>
      <c r="J8" s="2" t="s">
        <v>434</v>
      </c>
      <c r="K8" s="2" t="s">
        <v>142</v>
      </c>
      <c r="L8" s="2" t="s">
        <v>143</v>
      </c>
      <c r="M8" s="5">
        <v>46159.435590277782</v>
      </c>
      <c r="N8" t="s">
        <v>448</v>
      </c>
      <c r="O8" s="6">
        <v>46159</v>
      </c>
      <c r="P8" t="s">
        <v>436</v>
      </c>
      <c r="Q8" t="s">
        <v>449</v>
      </c>
      <c r="R8" t="b">
        <v>1</v>
      </c>
      <c r="S8" t="s">
        <v>40</v>
      </c>
      <c r="T8">
        <v>24</v>
      </c>
      <c r="U8">
        <v>2000</v>
      </c>
      <c r="V8">
        <v>1.9995000000000001</v>
      </c>
      <c r="W8" t="s">
        <v>41</v>
      </c>
      <c r="X8" t="s">
        <v>42</v>
      </c>
      <c r="Y8" t="s">
        <v>43</v>
      </c>
    </row>
    <row r="9" spans="1:25" ht="15" customHeight="1">
      <c r="A9" s="2">
        <v>8</v>
      </c>
      <c r="B9" s="2">
        <v>2008</v>
      </c>
      <c r="C9" s="2" t="s">
        <v>344</v>
      </c>
      <c r="D9" s="2" t="s">
        <v>432</v>
      </c>
      <c r="E9" s="2">
        <v>116.5</v>
      </c>
      <c r="F9" s="2">
        <v>4</v>
      </c>
      <c r="G9" s="2">
        <v>180</v>
      </c>
      <c r="H9" s="2" t="s">
        <v>341</v>
      </c>
      <c r="I9" s="2"/>
      <c r="J9" s="2" t="s">
        <v>434</v>
      </c>
      <c r="K9" s="2" t="s">
        <v>142</v>
      </c>
      <c r="L9" s="2" t="s">
        <v>143</v>
      </c>
      <c r="M9" s="5">
        <v>46159.437106481477</v>
      </c>
      <c r="N9" t="s">
        <v>450</v>
      </c>
      <c r="O9" s="6">
        <v>46159</v>
      </c>
      <c r="P9" t="s">
        <v>436</v>
      </c>
      <c r="Q9" t="s">
        <v>451</v>
      </c>
      <c r="R9" t="b">
        <v>1</v>
      </c>
      <c r="S9" t="s">
        <v>40</v>
      </c>
      <c r="T9">
        <v>24</v>
      </c>
      <c r="U9">
        <v>2000</v>
      </c>
      <c r="V9">
        <v>1.9995000000000001</v>
      </c>
      <c r="W9" t="s">
        <v>41</v>
      </c>
      <c r="X9" t="s">
        <v>42</v>
      </c>
      <c r="Y9" t="s">
        <v>43</v>
      </c>
    </row>
    <row r="10" spans="1:25" ht="15" customHeight="1">
      <c r="A10" s="2">
        <v>9</v>
      </c>
      <c r="B10" s="2">
        <v>2009</v>
      </c>
      <c r="C10" s="2" t="s">
        <v>344</v>
      </c>
      <c r="D10" s="2" t="s">
        <v>432</v>
      </c>
      <c r="E10" s="2">
        <v>118</v>
      </c>
      <c r="F10" s="2">
        <v>4</v>
      </c>
      <c r="G10" s="2">
        <v>185</v>
      </c>
      <c r="H10" s="2" t="s">
        <v>341</v>
      </c>
      <c r="I10" s="2"/>
      <c r="J10" s="2" t="s">
        <v>434</v>
      </c>
      <c r="K10" s="2" t="s">
        <v>142</v>
      </c>
      <c r="L10" s="2" t="s">
        <v>143</v>
      </c>
      <c r="M10" s="5">
        <v>46159.438599537039</v>
      </c>
      <c r="N10" t="s">
        <v>452</v>
      </c>
      <c r="O10" s="6">
        <v>46159</v>
      </c>
      <c r="P10" t="s">
        <v>436</v>
      </c>
      <c r="Q10" t="s">
        <v>453</v>
      </c>
      <c r="R10" t="b">
        <v>1</v>
      </c>
      <c r="S10" t="s">
        <v>40</v>
      </c>
      <c r="T10">
        <v>24</v>
      </c>
      <c r="U10">
        <v>2000</v>
      </c>
      <c r="V10">
        <v>1.9995000000000001</v>
      </c>
      <c r="W10" t="s">
        <v>41</v>
      </c>
      <c r="X10" t="s">
        <v>42</v>
      </c>
      <c r="Y10" t="s">
        <v>43</v>
      </c>
    </row>
    <row r="11" spans="1:25" ht="15" customHeight="1">
      <c r="A11" s="2">
        <v>10</v>
      </c>
      <c r="B11" s="2">
        <v>2010</v>
      </c>
      <c r="C11" s="2" t="s">
        <v>344</v>
      </c>
      <c r="D11" s="2" t="s">
        <v>432</v>
      </c>
      <c r="E11" s="2">
        <v>119.5</v>
      </c>
      <c r="F11" s="2">
        <v>4</v>
      </c>
      <c r="G11" s="2">
        <v>190</v>
      </c>
      <c r="H11" s="2" t="s">
        <v>341</v>
      </c>
      <c r="I11" s="2"/>
      <c r="J11" s="2" t="s">
        <v>434</v>
      </c>
      <c r="K11" s="2" t="s">
        <v>142</v>
      </c>
      <c r="L11" s="2" t="s">
        <v>143</v>
      </c>
      <c r="M11" s="5">
        <v>46159.440613425933</v>
      </c>
      <c r="N11" t="s">
        <v>454</v>
      </c>
      <c r="O11" s="6">
        <v>46159</v>
      </c>
      <c r="P11" t="s">
        <v>436</v>
      </c>
      <c r="Q11" t="s">
        <v>455</v>
      </c>
      <c r="R11" t="b">
        <v>1</v>
      </c>
      <c r="S11" t="s">
        <v>40</v>
      </c>
      <c r="T11">
        <v>24</v>
      </c>
      <c r="U11">
        <v>2000</v>
      </c>
      <c r="V11">
        <v>1.9995000000000001</v>
      </c>
      <c r="W11" t="s">
        <v>41</v>
      </c>
      <c r="X11" t="s">
        <v>42</v>
      </c>
      <c r="Y11" t="s">
        <v>43</v>
      </c>
    </row>
    <row r="12" spans="1:25" ht="15" customHeight="1">
      <c r="A12" s="2">
        <v>11</v>
      </c>
      <c r="B12" s="2">
        <v>2011</v>
      </c>
      <c r="C12" s="2" t="s">
        <v>344</v>
      </c>
      <c r="D12" s="2" t="s">
        <v>432</v>
      </c>
      <c r="E12" s="2">
        <v>121</v>
      </c>
      <c r="F12" s="2">
        <v>4</v>
      </c>
      <c r="G12" s="2">
        <v>195</v>
      </c>
      <c r="H12" s="2" t="s">
        <v>341</v>
      </c>
      <c r="I12" s="2"/>
      <c r="J12" s="2" t="s">
        <v>434</v>
      </c>
      <c r="K12" s="2" t="s">
        <v>142</v>
      </c>
      <c r="L12" s="2" t="s">
        <v>143</v>
      </c>
      <c r="M12" s="5">
        <v>46159.44253472222</v>
      </c>
      <c r="N12" t="s">
        <v>456</v>
      </c>
      <c r="O12" s="6">
        <v>46159</v>
      </c>
      <c r="P12" t="s">
        <v>436</v>
      </c>
      <c r="Q12" t="s">
        <v>457</v>
      </c>
      <c r="R12" t="b">
        <v>1</v>
      </c>
      <c r="S12" t="s">
        <v>40</v>
      </c>
      <c r="T12">
        <v>24</v>
      </c>
      <c r="U12">
        <v>2000</v>
      </c>
      <c r="V12">
        <v>1.9995000000000001</v>
      </c>
      <c r="W12" t="s">
        <v>41</v>
      </c>
      <c r="X12" t="s">
        <v>42</v>
      </c>
      <c r="Y12" t="s">
        <v>43</v>
      </c>
    </row>
    <row r="13" spans="1:25" ht="15" customHeight="1">
      <c r="A13" s="2">
        <v>12</v>
      </c>
      <c r="B13" s="2">
        <v>2012</v>
      </c>
      <c r="C13" s="2" t="s">
        <v>344</v>
      </c>
      <c r="D13" s="2" t="s">
        <v>432</v>
      </c>
      <c r="E13" s="2">
        <v>122.5</v>
      </c>
      <c r="F13" s="2">
        <v>4</v>
      </c>
      <c r="G13" s="2">
        <v>200</v>
      </c>
      <c r="H13" s="2" t="s">
        <v>341</v>
      </c>
      <c r="I13" s="2"/>
      <c r="J13" s="2" t="s">
        <v>434</v>
      </c>
      <c r="K13" s="2" t="s">
        <v>142</v>
      </c>
      <c r="L13" s="2" t="s">
        <v>143</v>
      </c>
      <c r="M13" s="5">
        <v>46159.44394675926</v>
      </c>
      <c r="N13" t="s">
        <v>458</v>
      </c>
      <c r="O13" s="6">
        <v>46159</v>
      </c>
      <c r="P13" t="s">
        <v>436</v>
      </c>
      <c r="Q13" t="s">
        <v>459</v>
      </c>
      <c r="R13" t="b">
        <v>1</v>
      </c>
      <c r="S13" t="s">
        <v>40</v>
      </c>
      <c r="T13">
        <v>24</v>
      </c>
      <c r="U13">
        <v>2000</v>
      </c>
      <c r="V13">
        <v>1.9995000000000001</v>
      </c>
      <c r="W13" t="s">
        <v>41</v>
      </c>
      <c r="X13" t="s">
        <v>42</v>
      </c>
      <c r="Y13" t="s">
        <v>43</v>
      </c>
    </row>
    <row r="14" spans="1:25" ht="15" customHeight="1">
      <c r="A14" s="2">
        <v>13</v>
      </c>
      <c r="B14" s="2">
        <v>2013</v>
      </c>
      <c r="C14" s="2" t="s">
        <v>344</v>
      </c>
      <c r="D14" s="2" t="s">
        <v>432</v>
      </c>
      <c r="E14" s="2">
        <v>124</v>
      </c>
      <c r="F14" s="2">
        <v>4</v>
      </c>
      <c r="G14" s="2">
        <v>205</v>
      </c>
      <c r="H14" s="2" t="s">
        <v>341</v>
      </c>
      <c r="I14" s="2"/>
      <c r="J14" s="2" t="s">
        <v>434</v>
      </c>
      <c r="K14" s="2" t="s">
        <v>142</v>
      </c>
      <c r="L14" s="2" t="s">
        <v>143</v>
      </c>
      <c r="M14" s="5">
        <v>46159.4453587963</v>
      </c>
      <c r="N14" t="s">
        <v>460</v>
      </c>
      <c r="O14" s="6">
        <v>46159</v>
      </c>
      <c r="P14" t="s">
        <v>436</v>
      </c>
      <c r="Q14" t="s">
        <v>461</v>
      </c>
      <c r="R14" t="b">
        <v>1</v>
      </c>
      <c r="S14" t="s">
        <v>40</v>
      </c>
      <c r="T14">
        <v>24</v>
      </c>
      <c r="U14">
        <v>2000</v>
      </c>
      <c r="V14">
        <v>1.9995000000000001</v>
      </c>
      <c r="W14" t="s">
        <v>41</v>
      </c>
      <c r="X14" t="s">
        <v>42</v>
      </c>
      <c r="Y14" t="s">
        <v>43</v>
      </c>
    </row>
    <row r="15" spans="1:25" ht="15" customHeight="1">
      <c r="A15" s="2">
        <v>14</v>
      </c>
      <c r="B15" s="2">
        <v>2014</v>
      </c>
      <c r="C15" s="2" t="s">
        <v>344</v>
      </c>
      <c r="D15" s="2" t="s">
        <v>432</v>
      </c>
      <c r="E15" s="2">
        <v>125.5</v>
      </c>
      <c r="F15" s="2">
        <v>4</v>
      </c>
      <c r="G15" s="2">
        <v>210</v>
      </c>
      <c r="H15" s="2" t="s">
        <v>341</v>
      </c>
      <c r="I15" s="2"/>
      <c r="J15" s="2" t="s">
        <v>434</v>
      </c>
      <c r="K15" s="2" t="s">
        <v>142</v>
      </c>
      <c r="L15" s="2" t="s">
        <v>143</v>
      </c>
      <c r="M15" s="5">
        <v>46159.446932870371</v>
      </c>
      <c r="N15" t="s">
        <v>462</v>
      </c>
      <c r="O15" s="6">
        <v>46159</v>
      </c>
      <c r="P15" t="s">
        <v>436</v>
      </c>
      <c r="Q15" t="s">
        <v>463</v>
      </c>
      <c r="R15" t="b">
        <v>1</v>
      </c>
      <c r="S15" t="s">
        <v>40</v>
      </c>
      <c r="T15">
        <v>24</v>
      </c>
      <c r="U15">
        <v>2000</v>
      </c>
      <c r="V15">
        <v>1.9995000000000001</v>
      </c>
      <c r="W15" t="s">
        <v>41</v>
      </c>
      <c r="X15" t="s">
        <v>42</v>
      </c>
      <c r="Y15" t="s">
        <v>43</v>
      </c>
    </row>
    <row r="16" spans="1:25" ht="15" customHeight="1">
      <c r="A16" s="2">
        <v>15</v>
      </c>
      <c r="B16" s="2">
        <v>2015</v>
      </c>
      <c r="C16" s="2" t="s">
        <v>344</v>
      </c>
      <c r="D16" s="2" t="s">
        <v>432</v>
      </c>
      <c r="E16" s="2">
        <v>127</v>
      </c>
      <c r="F16" s="2">
        <v>4</v>
      </c>
      <c r="G16" s="2">
        <v>215</v>
      </c>
      <c r="H16" s="2" t="s">
        <v>341</v>
      </c>
      <c r="I16" s="2"/>
      <c r="J16" s="2" t="s">
        <v>434</v>
      </c>
      <c r="K16" s="2" t="s">
        <v>142</v>
      </c>
      <c r="L16" s="2" t="s">
        <v>143</v>
      </c>
      <c r="M16" s="5">
        <v>46159.448252314818</v>
      </c>
      <c r="N16" t="s">
        <v>464</v>
      </c>
      <c r="O16" s="6">
        <v>46159</v>
      </c>
      <c r="P16" t="s">
        <v>436</v>
      </c>
      <c r="Q16" t="s">
        <v>465</v>
      </c>
      <c r="R16" t="b">
        <v>1</v>
      </c>
      <c r="S16" t="s">
        <v>40</v>
      </c>
      <c r="T16">
        <v>24</v>
      </c>
      <c r="U16">
        <v>2000</v>
      </c>
      <c r="V16">
        <v>1.9995000000000001</v>
      </c>
      <c r="W16" t="s">
        <v>41</v>
      </c>
      <c r="X16" t="s">
        <v>42</v>
      </c>
      <c r="Y16" t="s">
        <v>43</v>
      </c>
    </row>
    <row r="17" spans="1:25" ht="15" customHeight="1">
      <c r="A17" s="2">
        <v>16</v>
      </c>
      <c r="B17" s="2">
        <v>2016</v>
      </c>
      <c r="C17" s="2" t="s">
        <v>344</v>
      </c>
      <c r="D17" s="2" t="s">
        <v>432</v>
      </c>
      <c r="E17" s="2">
        <v>128.5</v>
      </c>
      <c r="F17" s="2">
        <v>4</v>
      </c>
      <c r="G17" s="2">
        <v>220</v>
      </c>
      <c r="H17" s="2" t="s">
        <v>341</v>
      </c>
      <c r="I17" s="2"/>
      <c r="J17" s="2" t="s">
        <v>434</v>
      </c>
      <c r="K17" s="2" t="s">
        <v>142</v>
      </c>
      <c r="L17" s="2" t="s">
        <v>143</v>
      </c>
      <c r="M17" s="5">
        <v>46159.45</v>
      </c>
      <c r="N17" t="s">
        <v>466</v>
      </c>
      <c r="O17" s="6">
        <v>46159</v>
      </c>
      <c r="P17" t="s">
        <v>436</v>
      </c>
      <c r="Q17" t="s">
        <v>467</v>
      </c>
      <c r="R17" t="b">
        <v>1</v>
      </c>
      <c r="S17" t="s">
        <v>40</v>
      </c>
      <c r="T17">
        <v>24</v>
      </c>
      <c r="U17">
        <v>2000</v>
      </c>
      <c r="V17">
        <v>1.9995000000000001</v>
      </c>
      <c r="W17" t="s">
        <v>41</v>
      </c>
      <c r="X17" t="s">
        <v>42</v>
      </c>
      <c r="Y17" t="s">
        <v>43</v>
      </c>
    </row>
    <row r="18" spans="1:25" ht="15" customHeight="1">
      <c r="A18" s="2">
        <v>17</v>
      </c>
      <c r="B18" s="2">
        <v>2017</v>
      </c>
      <c r="C18" s="2" t="s">
        <v>344</v>
      </c>
      <c r="D18" s="2" t="s">
        <v>432</v>
      </c>
      <c r="E18" s="2">
        <v>130</v>
      </c>
      <c r="F18" s="2">
        <v>4</v>
      </c>
      <c r="G18" s="2">
        <v>225</v>
      </c>
      <c r="H18" s="2" t="s">
        <v>341</v>
      </c>
      <c r="I18" s="2"/>
      <c r="J18" s="2" t="s">
        <v>434</v>
      </c>
      <c r="K18" s="2" t="s">
        <v>142</v>
      </c>
      <c r="L18" s="2" t="s">
        <v>143</v>
      </c>
      <c r="M18" s="5">
        <v>46159.451909722222</v>
      </c>
      <c r="N18" t="s">
        <v>468</v>
      </c>
      <c r="O18" s="6">
        <v>46159</v>
      </c>
      <c r="P18" t="s">
        <v>436</v>
      </c>
      <c r="Q18" t="s">
        <v>469</v>
      </c>
      <c r="R18" t="b">
        <v>1</v>
      </c>
      <c r="S18" t="s">
        <v>40</v>
      </c>
      <c r="T18">
        <v>24</v>
      </c>
      <c r="U18">
        <v>2000</v>
      </c>
      <c r="V18">
        <v>1.9995000000000001</v>
      </c>
      <c r="W18" t="s">
        <v>41</v>
      </c>
      <c r="X18" t="s">
        <v>42</v>
      </c>
      <c r="Y18" t="s">
        <v>43</v>
      </c>
    </row>
    <row r="19" spans="1:25" ht="15" customHeight="1">
      <c r="A19" s="2">
        <v>18</v>
      </c>
      <c r="B19" s="2">
        <v>2018</v>
      </c>
      <c r="C19" s="2" t="s">
        <v>344</v>
      </c>
      <c r="D19" s="2" t="s">
        <v>432</v>
      </c>
      <c r="E19" s="2">
        <v>131.5</v>
      </c>
      <c r="F19" s="2">
        <v>4</v>
      </c>
      <c r="G19" s="2">
        <v>230</v>
      </c>
      <c r="H19" s="2" t="s">
        <v>341</v>
      </c>
      <c r="I19" s="2"/>
      <c r="J19" s="2" t="s">
        <v>434</v>
      </c>
      <c r="K19" s="2" t="s">
        <v>142</v>
      </c>
      <c r="L19" s="2" t="s">
        <v>143</v>
      </c>
      <c r="M19" s="5">
        <v>46159.453344907408</v>
      </c>
      <c r="N19" t="s">
        <v>470</v>
      </c>
      <c r="O19" s="6">
        <v>46159</v>
      </c>
      <c r="P19" t="s">
        <v>436</v>
      </c>
      <c r="Q19" t="s">
        <v>471</v>
      </c>
      <c r="R19" t="b">
        <v>1</v>
      </c>
      <c r="S19" t="s">
        <v>40</v>
      </c>
      <c r="T19">
        <v>24</v>
      </c>
      <c r="U19">
        <v>2000</v>
      </c>
      <c r="V19">
        <v>1.9995000000000001</v>
      </c>
      <c r="W19" t="s">
        <v>41</v>
      </c>
      <c r="X19" t="s">
        <v>42</v>
      </c>
      <c r="Y19" t="s">
        <v>43</v>
      </c>
    </row>
    <row r="20" spans="1:25" ht="15" customHeight="1">
      <c r="A20" s="2">
        <v>19</v>
      </c>
      <c r="B20" s="2">
        <v>2019</v>
      </c>
      <c r="C20" s="2" t="s">
        <v>344</v>
      </c>
      <c r="D20" s="2" t="s">
        <v>432</v>
      </c>
      <c r="E20" s="2">
        <v>133</v>
      </c>
      <c r="F20" s="2">
        <v>4</v>
      </c>
      <c r="G20" s="2">
        <v>235</v>
      </c>
      <c r="H20" s="2" t="s">
        <v>341</v>
      </c>
      <c r="I20" s="2"/>
      <c r="J20" s="2" t="s">
        <v>434</v>
      </c>
      <c r="K20" s="2" t="s">
        <v>142</v>
      </c>
      <c r="L20" s="2" t="s">
        <v>143</v>
      </c>
      <c r="M20" s="5">
        <v>46159.454988425918</v>
      </c>
      <c r="N20" t="s">
        <v>472</v>
      </c>
      <c r="O20" s="6">
        <v>46159</v>
      </c>
      <c r="P20" t="s">
        <v>436</v>
      </c>
      <c r="Q20" t="s">
        <v>473</v>
      </c>
      <c r="R20" t="b">
        <v>1</v>
      </c>
      <c r="S20" t="s">
        <v>40</v>
      </c>
      <c r="T20">
        <v>24</v>
      </c>
      <c r="U20">
        <v>2000</v>
      </c>
      <c r="V20">
        <v>1.9995000000000001</v>
      </c>
      <c r="W20" t="s">
        <v>41</v>
      </c>
      <c r="X20" t="s">
        <v>42</v>
      </c>
      <c r="Y20" t="s">
        <v>43</v>
      </c>
    </row>
    <row r="21" spans="1:25" ht="15" customHeight="1">
      <c r="A21" s="2">
        <v>20</v>
      </c>
      <c r="B21" s="2">
        <v>2020</v>
      </c>
      <c r="C21" s="2" t="s">
        <v>344</v>
      </c>
      <c r="D21" s="2" t="s">
        <v>432</v>
      </c>
      <c r="E21" s="2">
        <v>134.5</v>
      </c>
      <c r="F21" s="2">
        <v>4</v>
      </c>
      <c r="G21" s="2">
        <v>240</v>
      </c>
      <c r="H21" s="2" t="s">
        <v>341</v>
      </c>
      <c r="I21" s="2"/>
      <c r="J21" s="2" t="s">
        <v>434</v>
      </c>
      <c r="K21" s="2" t="s">
        <v>142</v>
      </c>
      <c r="L21" s="2" t="s">
        <v>143</v>
      </c>
      <c r="M21" s="5">
        <v>46159.45621527778</v>
      </c>
      <c r="N21" t="s">
        <v>474</v>
      </c>
      <c r="O21" s="6">
        <v>46159</v>
      </c>
      <c r="P21" t="s">
        <v>436</v>
      </c>
      <c r="Q21" t="s">
        <v>475</v>
      </c>
      <c r="R21" t="b">
        <v>1</v>
      </c>
      <c r="S21" t="s">
        <v>40</v>
      </c>
      <c r="T21">
        <v>24</v>
      </c>
      <c r="U21">
        <v>2000</v>
      </c>
      <c r="V21">
        <v>1.9995000000000001</v>
      </c>
      <c r="W21" t="s">
        <v>41</v>
      </c>
      <c r="X21" t="s">
        <v>42</v>
      </c>
      <c r="Y21" t="s">
        <v>43</v>
      </c>
    </row>
    <row r="22" spans="1:25" ht="15" customHeight="1">
      <c r="A22" s="2">
        <v>21</v>
      </c>
      <c r="B22" s="2">
        <v>2021</v>
      </c>
      <c r="C22" s="2" t="s">
        <v>344</v>
      </c>
      <c r="D22" s="2" t="s">
        <v>432</v>
      </c>
      <c r="E22" s="2">
        <v>136</v>
      </c>
      <c r="F22" s="2">
        <v>5</v>
      </c>
      <c r="G22" s="2">
        <v>245</v>
      </c>
      <c r="H22" s="2" t="s">
        <v>341</v>
      </c>
      <c r="I22" s="2"/>
      <c r="J22" s="2" t="s">
        <v>434</v>
      </c>
      <c r="K22" s="2" t="s">
        <v>142</v>
      </c>
      <c r="L22" s="2" t="s">
        <v>143</v>
      </c>
      <c r="M22" s="5">
        <v>46159.470138888893</v>
      </c>
      <c r="N22" t="s">
        <v>476</v>
      </c>
      <c r="O22" s="6">
        <v>46159</v>
      </c>
      <c r="P22" t="s">
        <v>436</v>
      </c>
      <c r="Q22" t="s">
        <v>477</v>
      </c>
      <c r="R22" t="b">
        <v>1</v>
      </c>
      <c r="S22" t="s">
        <v>40</v>
      </c>
      <c r="T22">
        <v>24</v>
      </c>
      <c r="U22">
        <v>2000</v>
      </c>
      <c r="V22">
        <v>1.9995000000000001</v>
      </c>
      <c r="W22" t="s">
        <v>41</v>
      </c>
      <c r="X22" t="s">
        <v>42</v>
      </c>
      <c r="Y22" t="s">
        <v>43</v>
      </c>
    </row>
    <row r="23" spans="1:25" ht="15" customHeight="1">
      <c r="A23" s="2">
        <v>22</v>
      </c>
      <c r="B23" s="2">
        <v>2022</v>
      </c>
      <c r="C23" s="2" t="s">
        <v>344</v>
      </c>
      <c r="D23" s="2" t="s">
        <v>432</v>
      </c>
      <c r="E23" s="2">
        <v>137.5</v>
      </c>
      <c r="F23" s="2">
        <v>4</v>
      </c>
      <c r="G23" s="2">
        <v>250</v>
      </c>
      <c r="H23" s="2" t="s">
        <v>341</v>
      </c>
      <c r="I23" s="2"/>
      <c r="J23" s="2" t="s">
        <v>434</v>
      </c>
      <c r="K23" s="2" t="s">
        <v>142</v>
      </c>
      <c r="L23" s="2" t="s">
        <v>143</v>
      </c>
      <c r="M23" s="5">
        <v>46159.475173611107</v>
      </c>
      <c r="N23" t="s">
        <v>478</v>
      </c>
      <c r="O23" s="6">
        <v>46159</v>
      </c>
      <c r="P23" t="s">
        <v>436</v>
      </c>
      <c r="Q23" t="s">
        <v>479</v>
      </c>
      <c r="R23" t="b">
        <v>1</v>
      </c>
      <c r="S23" t="s">
        <v>40</v>
      </c>
      <c r="T23">
        <v>24</v>
      </c>
      <c r="U23">
        <v>2000</v>
      </c>
      <c r="V23">
        <v>1.9995000000000001</v>
      </c>
      <c r="W23" t="s">
        <v>41</v>
      </c>
      <c r="X23" t="s">
        <v>42</v>
      </c>
      <c r="Y23" t="s">
        <v>43</v>
      </c>
    </row>
    <row r="24" spans="1:25" ht="15" customHeight="1">
      <c r="A24" s="2">
        <v>23</v>
      </c>
      <c r="B24" s="2">
        <v>2023</v>
      </c>
      <c r="C24" s="2" t="s">
        <v>344</v>
      </c>
      <c r="D24" s="2" t="s">
        <v>432</v>
      </c>
      <c r="E24" s="2">
        <v>139</v>
      </c>
      <c r="F24" s="2">
        <v>4</v>
      </c>
      <c r="G24" s="2">
        <v>255</v>
      </c>
      <c r="H24" s="2" t="s">
        <v>341</v>
      </c>
      <c r="I24" s="2"/>
      <c r="J24" s="2" t="s">
        <v>434</v>
      </c>
      <c r="K24" s="2" t="s">
        <v>142</v>
      </c>
      <c r="L24" s="2" t="s">
        <v>143</v>
      </c>
      <c r="M24" s="5">
        <v>46159.478310185194</v>
      </c>
      <c r="N24" t="s">
        <v>480</v>
      </c>
      <c r="O24" s="6">
        <v>46159</v>
      </c>
      <c r="P24" t="s">
        <v>436</v>
      </c>
      <c r="Q24" t="s">
        <v>481</v>
      </c>
      <c r="R24" t="b">
        <v>1</v>
      </c>
      <c r="S24" t="s">
        <v>40</v>
      </c>
      <c r="T24">
        <v>24</v>
      </c>
      <c r="U24">
        <v>2000</v>
      </c>
      <c r="V24">
        <v>1.9995000000000001</v>
      </c>
      <c r="W24" t="s">
        <v>41</v>
      </c>
      <c r="X24" t="s">
        <v>42</v>
      </c>
      <c r="Y24" t="s">
        <v>43</v>
      </c>
    </row>
    <row r="25" spans="1:25" ht="15" customHeight="1">
      <c r="A25" s="2">
        <v>24</v>
      </c>
      <c r="B25" s="2">
        <v>2024</v>
      </c>
      <c r="C25" s="2" t="s">
        <v>344</v>
      </c>
      <c r="D25" s="2" t="s">
        <v>432</v>
      </c>
      <c r="E25" s="2">
        <v>140.5</v>
      </c>
      <c r="F25" s="2">
        <v>4</v>
      </c>
      <c r="G25" s="2">
        <v>260</v>
      </c>
      <c r="H25" s="2" t="s">
        <v>341</v>
      </c>
      <c r="I25" s="2"/>
      <c r="J25" s="2" t="s">
        <v>434</v>
      </c>
      <c r="K25" s="2" t="s">
        <v>142</v>
      </c>
      <c r="L25" s="2" t="s">
        <v>143</v>
      </c>
      <c r="M25" s="5">
        <v>46159.480798611112</v>
      </c>
      <c r="N25" t="s">
        <v>482</v>
      </c>
      <c r="O25" s="6">
        <v>46159</v>
      </c>
      <c r="P25" t="s">
        <v>436</v>
      </c>
      <c r="Q25" t="s">
        <v>483</v>
      </c>
      <c r="R25" t="b">
        <v>1</v>
      </c>
      <c r="S25" t="s">
        <v>40</v>
      </c>
      <c r="T25">
        <v>24</v>
      </c>
      <c r="U25">
        <v>2000</v>
      </c>
      <c r="V25">
        <v>1.9995000000000001</v>
      </c>
      <c r="W25" t="s">
        <v>41</v>
      </c>
      <c r="X25" t="s">
        <v>42</v>
      </c>
      <c r="Y25" t="s">
        <v>43</v>
      </c>
    </row>
    <row r="26" spans="1:25" ht="15" customHeight="1">
      <c r="A26" s="2">
        <v>25</v>
      </c>
      <c r="B26" s="2">
        <v>2025</v>
      </c>
      <c r="C26" s="2" t="s">
        <v>344</v>
      </c>
      <c r="D26" s="2" t="s">
        <v>432</v>
      </c>
      <c r="E26" s="2">
        <v>142</v>
      </c>
      <c r="F26" s="2">
        <v>4</v>
      </c>
      <c r="G26" s="2">
        <v>265</v>
      </c>
      <c r="H26" s="2" t="s">
        <v>341</v>
      </c>
      <c r="I26" s="2"/>
      <c r="J26" s="2" t="s">
        <v>434</v>
      </c>
      <c r="K26" s="2" t="s">
        <v>142</v>
      </c>
      <c r="L26" s="2" t="s">
        <v>143</v>
      </c>
      <c r="M26" s="5">
        <v>46159.483159722222</v>
      </c>
      <c r="N26" t="s">
        <v>484</v>
      </c>
      <c r="O26" s="6">
        <v>46159</v>
      </c>
      <c r="P26" t="s">
        <v>436</v>
      </c>
      <c r="Q26" t="s">
        <v>485</v>
      </c>
      <c r="R26" t="b">
        <v>1</v>
      </c>
      <c r="S26" t="s">
        <v>40</v>
      </c>
      <c r="T26">
        <v>24</v>
      </c>
      <c r="U26">
        <v>2000</v>
      </c>
      <c r="V26">
        <v>1.9995000000000001</v>
      </c>
      <c r="W26" t="s">
        <v>41</v>
      </c>
      <c r="X26" t="s">
        <v>42</v>
      </c>
      <c r="Y26" t="s">
        <v>43</v>
      </c>
    </row>
    <row r="27" spans="1:25" ht="15" customHeight="1">
      <c r="A27" s="2">
        <v>26</v>
      </c>
      <c r="B27" s="2">
        <v>2026</v>
      </c>
      <c r="C27" s="2" t="s">
        <v>344</v>
      </c>
      <c r="D27" s="2" t="s">
        <v>432</v>
      </c>
      <c r="E27" s="2">
        <v>143.5</v>
      </c>
      <c r="F27" s="2">
        <v>4</v>
      </c>
      <c r="G27" s="2">
        <v>270</v>
      </c>
      <c r="H27" s="2" t="s">
        <v>341</v>
      </c>
      <c r="I27" s="2"/>
      <c r="J27" s="2" t="s">
        <v>434</v>
      </c>
      <c r="K27" s="2" t="s">
        <v>142</v>
      </c>
      <c r="L27" s="2" t="s">
        <v>143</v>
      </c>
      <c r="M27" s="5">
        <v>46159.484722222223</v>
      </c>
      <c r="N27" t="s">
        <v>486</v>
      </c>
      <c r="O27" s="6">
        <v>46159</v>
      </c>
      <c r="P27" t="s">
        <v>436</v>
      </c>
      <c r="Q27" t="s">
        <v>487</v>
      </c>
      <c r="R27" t="b">
        <v>1</v>
      </c>
      <c r="S27" t="s">
        <v>40</v>
      </c>
      <c r="T27">
        <v>24</v>
      </c>
      <c r="U27">
        <v>2000</v>
      </c>
      <c r="V27">
        <v>1.9995000000000001</v>
      </c>
      <c r="W27" t="s">
        <v>41</v>
      </c>
      <c r="X27" t="s">
        <v>42</v>
      </c>
      <c r="Y27" t="s">
        <v>43</v>
      </c>
    </row>
    <row r="28" spans="1:25" ht="15" customHeight="1">
      <c r="A28" s="2">
        <v>27</v>
      </c>
      <c r="B28" s="2">
        <v>2027</v>
      </c>
      <c r="C28" s="2" t="s">
        <v>344</v>
      </c>
      <c r="D28" s="2" t="s">
        <v>432</v>
      </c>
      <c r="E28" s="2">
        <v>145</v>
      </c>
      <c r="F28" s="2">
        <v>4</v>
      </c>
      <c r="G28" s="2">
        <v>275</v>
      </c>
      <c r="H28" s="2" t="s">
        <v>341</v>
      </c>
      <c r="I28" s="2"/>
      <c r="J28" s="2" t="s">
        <v>434</v>
      </c>
      <c r="K28" s="2" t="s">
        <v>142</v>
      </c>
      <c r="L28" s="2" t="s">
        <v>143</v>
      </c>
      <c r="M28" s="5">
        <v>46159.487395833326</v>
      </c>
      <c r="N28" t="s">
        <v>488</v>
      </c>
      <c r="O28" s="6">
        <v>46159</v>
      </c>
      <c r="P28" t="s">
        <v>436</v>
      </c>
      <c r="Q28" t="s">
        <v>489</v>
      </c>
      <c r="R28" t="b">
        <v>1</v>
      </c>
      <c r="S28" t="s">
        <v>40</v>
      </c>
      <c r="T28">
        <v>24</v>
      </c>
      <c r="U28">
        <v>2000</v>
      </c>
      <c r="V28">
        <v>1.9995000000000001</v>
      </c>
      <c r="W28" t="s">
        <v>41</v>
      </c>
      <c r="X28" t="s">
        <v>42</v>
      </c>
      <c r="Y28" t="s">
        <v>43</v>
      </c>
    </row>
    <row r="29" spans="1:25" ht="15" customHeight="1">
      <c r="A29" s="2">
        <v>28</v>
      </c>
      <c r="B29" s="2">
        <v>2028</v>
      </c>
      <c r="C29" s="2" t="s">
        <v>344</v>
      </c>
      <c r="D29" s="2" t="s">
        <v>432</v>
      </c>
      <c r="E29" s="2">
        <v>146.5</v>
      </c>
      <c r="F29" s="2">
        <v>4</v>
      </c>
      <c r="G29" s="2">
        <v>280</v>
      </c>
      <c r="H29" s="2" t="s">
        <v>341</v>
      </c>
      <c r="I29" s="2"/>
      <c r="J29" s="2" t="s">
        <v>434</v>
      </c>
      <c r="K29" s="2" t="s">
        <v>142</v>
      </c>
      <c r="L29" s="2" t="s">
        <v>143</v>
      </c>
      <c r="M29" s="5">
        <v>46159.488715277781</v>
      </c>
      <c r="N29" t="s">
        <v>490</v>
      </c>
      <c r="O29" s="6">
        <v>46159</v>
      </c>
      <c r="P29" t="s">
        <v>436</v>
      </c>
      <c r="Q29" t="s">
        <v>491</v>
      </c>
      <c r="R29" t="b">
        <v>1</v>
      </c>
      <c r="S29" t="s">
        <v>40</v>
      </c>
      <c r="T29">
        <v>24</v>
      </c>
      <c r="U29">
        <v>2000</v>
      </c>
      <c r="V29">
        <v>1.9995000000000001</v>
      </c>
      <c r="W29" t="s">
        <v>41</v>
      </c>
      <c r="X29" t="s">
        <v>42</v>
      </c>
      <c r="Y29" t="s">
        <v>43</v>
      </c>
    </row>
    <row r="30" spans="1:25" ht="15" customHeight="1">
      <c r="A30" s="2">
        <v>29</v>
      </c>
      <c r="B30" s="2">
        <v>2029</v>
      </c>
      <c r="C30" s="2" t="s">
        <v>344</v>
      </c>
      <c r="D30" s="2" t="s">
        <v>432</v>
      </c>
      <c r="E30" s="2">
        <v>148</v>
      </c>
      <c r="F30" s="2">
        <v>4</v>
      </c>
      <c r="G30" s="2">
        <v>285</v>
      </c>
      <c r="H30" s="2" t="s">
        <v>341</v>
      </c>
      <c r="I30" s="2"/>
      <c r="J30" s="2" t="s">
        <v>434</v>
      </c>
      <c r="K30" s="2" t="s">
        <v>142</v>
      </c>
      <c r="L30" s="2" t="s">
        <v>143</v>
      </c>
      <c r="M30" s="5">
        <v>46159.489814814813</v>
      </c>
      <c r="N30" t="s">
        <v>492</v>
      </c>
      <c r="O30" s="6">
        <v>46159</v>
      </c>
      <c r="P30" t="s">
        <v>436</v>
      </c>
      <c r="Q30" t="s">
        <v>493</v>
      </c>
      <c r="R30" t="b">
        <v>1</v>
      </c>
      <c r="S30" t="s">
        <v>40</v>
      </c>
      <c r="T30">
        <v>24</v>
      </c>
      <c r="U30">
        <v>2000</v>
      </c>
      <c r="V30">
        <v>1.9995000000000001</v>
      </c>
      <c r="W30" t="s">
        <v>41</v>
      </c>
      <c r="X30" t="s">
        <v>42</v>
      </c>
      <c r="Y30" t="s">
        <v>43</v>
      </c>
    </row>
    <row r="31" spans="1:25" ht="15" customHeight="1">
      <c r="A31" s="2">
        <v>30</v>
      </c>
      <c r="B31" s="2">
        <v>2030</v>
      </c>
      <c r="C31" s="2" t="s">
        <v>344</v>
      </c>
      <c r="D31" s="2" t="s">
        <v>432</v>
      </c>
      <c r="E31" s="2">
        <v>149.5</v>
      </c>
      <c r="F31" s="2">
        <v>4</v>
      </c>
      <c r="G31" s="2">
        <v>290</v>
      </c>
      <c r="H31" s="2" t="s">
        <v>341</v>
      </c>
      <c r="I31" s="2"/>
      <c r="J31" s="2" t="s">
        <v>434</v>
      </c>
      <c r="K31" s="2" t="s">
        <v>142</v>
      </c>
      <c r="L31" s="2" t="s">
        <v>143</v>
      </c>
      <c r="M31" s="5">
        <v>46159.490937499999</v>
      </c>
      <c r="N31" t="s">
        <v>494</v>
      </c>
      <c r="O31" s="6">
        <v>46159</v>
      </c>
      <c r="P31" t="s">
        <v>436</v>
      </c>
      <c r="Q31" t="s">
        <v>495</v>
      </c>
      <c r="R31" t="b">
        <v>1</v>
      </c>
      <c r="S31" t="s">
        <v>40</v>
      </c>
      <c r="T31">
        <v>24</v>
      </c>
      <c r="U31">
        <v>2000</v>
      </c>
      <c r="V31">
        <v>1.9995000000000001</v>
      </c>
      <c r="W31" t="s">
        <v>41</v>
      </c>
      <c r="X31" t="s">
        <v>42</v>
      </c>
      <c r="Y31" t="s">
        <v>43</v>
      </c>
    </row>
    <row r="32" spans="1:25" ht="15" customHeight="1">
      <c r="A32" s="2">
        <v>31</v>
      </c>
      <c r="B32" s="2">
        <v>2031</v>
      </c>
      <c r="C32" s="2" t="s">
        <v>344</v>
      </c>
      <c r="D32" s="2" t="s">
        <v>432</v>
      </c>
      <c r="E32" s="2">
        <v>151</v>
      </c>
      <c r="F32" s="2">
        <v>4</v>
      </c>
      <c r="G32" s="2">
        <v>295</v>
      </c>
      <c r="H32" s="2" t="s">
        <v>341</v>
      </c>
      <c r="I32" s="2"/>
      <c r="J32" s="2" t="s">
        <v>496</v>
      </c>
      <c r="K32" s="2" t="s">
        <v>142</v>
      </c>
      <c r="L32" s="2" t="s">
        <v>143</v>
      </c>
      <c r="M32" s="5">
        <v>46159.492743055547</v>
      </c>
      <c r="N32" t="s">
        <v>497</v>
      </c>
      <c r="O32" s="6">
        <v>46159</v>
      </c>
      <c r="P32" t="s">
        <v>436</v>
      </c>
      <c r="Q32" t="s">
        <v>498</v>
      </c>
      <c r="R32" t="b">
        <v>1</v>
      </c>
      <c r="S32" t="s">
        <v>40</v>
      </c>
      <c r="T32">
        <v>24</v>
      </c>
      <c r="U32">
        <v>2000</v>
      </c>
      <c r="V32">
        <v>1.9995000000000001</v>
      </c>
      <c r="W32" t="s">
        <v>41</v>
      </c>
      <c r="X32" t="s">
        <v>42</v>
      </c>
      <c r="Y32" t="s">
        <v>43</v>
      </c>
    </row>
    <row r="33" spans="1:25" ht="15" customHeight="1">
      <c r="A33" s="2">
        <v>32</v>
      </c>
      <c r="B33" s="2">
        <v>2032</v>
      </c>
      <c r="C33" s="2" t="s">
        <v>344</v>
      </c>
      <c r="D33" s="2" t="s">
        <v>432</v>
      </c>
      <c r="E33" s="2">
        <v>152.5</v>
      </c>
      <c r="F33" s="2">
        <v>4</v>
      </c>
      <c r="G33" s="2">
        <v>300</v>
      </c>
      <c r="H33" s="2" t="s">
        <v>341</v>
      </c>
      <c r="I33" s="2"/>
      <c r="J33" s="2" t="s">
        <v>496</v>
      </c>
      <c r="K33" s="2" t="s">
        <v>142</v>
      </c>
      <c r="L33" s="2" t="s">
        <v>143</v>
      </c>
      <c r="M33" s="5">
        <v>46159.494074074071</v>
      </c>
      <c r="N33" t="s">
        <v>499</v>
      </c>
      <c r="O33" s="6">
        <v>46159</v>
      </c>
      <c r="P33" t="s">
        <v>436</v>
      </c>
      <c r="Q33" t="s">
        <v>500</v>
      </c>
      <c r="R33" t="b">
        <v>1</v>
      </c>
      <c r="S33" t="s">
        <v>40</v>
      </c>
      <c r="T33">
        <v>24</v>
      </c>
      <c r="U33">
        <v>2000</v>
      </c>
      <c r="V33">
        <v>1.9995000000000001</v>
      </c>
      <c r="W33" t="s">
        <v>41</v>
      </c>
      <c r="X33" t="s">
        <v>42</v>
      </c>
      <c r="Y33" t="s">
        <v>43</v>
      </c>
    </row>
    <row r="34" spans="1:25" ht="15" customHeight="1">
      <c r="A34" s="2">
        <v>33</v>
      </c>
      <c r="B34" s="2">
        <v>2033</v>
      </c>
      <c r="C34" s="2" t="s">
        <v>344</v>
      </c>
      <c r="D34" s="2" t="s">
        <v>432</v>
      </c>
      <c r="E34" s="2">
        <v>154</v>
      </c>
      <c r="F34" s="2">
        <v>5</v>
      </c>
      <c r="G34" s="2">
        <v>305</v>
      </c>
      <c r="H34" s="2" t="s">
        <v>341</v>
      </c>
      <c r="I34" s="2"/>
      <c r="J34" s="2" t="s">
        <v>496</v>
      </c>
      <c r="K34" s="2" t="s">
        <v>142</v>
      </c>
      <c r="L34" s="2" t="s">
        <v>143</v>
      </c>
      <c r="M34" s="5">
        <v>46159.495949074073</v>
      </c>
      <c r="N34" t="s">
        <v>501</v>
      </c>
      <c r="O34" s="6">
        <v>46159</v>
      </c>
      <c r="P34" t="s">
        <v>436</v>
      </c>
      <c r="Q34" t="s">
        <v>502</v>
      </c>
      <c r="R34" t="b">
        <v>1</v>
      </c>
      <c r="S34" t="s">
        <v>40</v>
      </c>
      <c r="T34">
        <v>24</v>
      </c>
      <c r="U34">
        <v>2000</v>
      </c>
      <c r="V34">
        <v>1.9995000000000001</v>
      </c>
      <c r="W34" t="s">
        <v>41</v>
      </c>
      <c r="X34" t="s">
        <v>42</v>
      </c>
      <c r="Y34" t="s">
        <v>43</v>
      </c>
    </row>
    <row r="35" spans="1:25" ht="15" customHeight="1">
      <c r="A35" s="2">
        <v>34</v>
      </c>
      <c r="B35" s="2">
        <v>2034</v>
      </c>
      <c r="C35" s="2" t="s">
        <v>344</v>
      </c>
      <c r="D35" s="2" t="s">
        <v>432</v>
      </c>
      <c r="E35" s="2">
        <v>155.5</v>
      </c>
      <c r="F35" s="2">
        <v>4</v>
      </c>
      <c r="G35" s="2">
        <v>310</v>
      </c>
      <c r="H35" s="2" t="s">
        <v>341</v>
      </c>
      <c r="I35" s="2"/>
      <c r="J35" s="2" t="s">
        <v>496</v>
      </c>
      <c r="K35" s="2" t="s">
        <v>142</v>
      </c>
      <c r="L35" s="2" t="s">
        <v>143</v>
      </c>
      <c r="M35" s="5">
        <v>46159.497731481482</v>
      </c>
      <c r="N35" t="s">
        <v>503</v>
      </c>
      <c r="O35" s="6">
        <v>46159</v>
      </c>
      <c r="P35" t="s">
        <v>436</v>
      </c>
      <c r="Q35" t="s">
        <v>504</v>
      </c>
      <c r="R35" t="b">
        <v>1</v>
      </c>
      <c r="S35" t="s">
        <v>40</v>
      </c>
      <c r="T35">
        <v>24</v>
      </c>
      <c r="U35">
        <v>2000</v>
      </c>
      <c r="V35">
        <v>1.9995000000000001</v>
      </c>
      <c r="W35" t="s">
        <v>41</v>
      </c>
      <c r="X35" t="s">
        <v>42</v>
      </c>
      <c r="Y35" t="s">
        <v>43</v>
      </c>
    </row>
    <row r="36" spans="1:25" ht="15" customHeight="1">
      <c r="A36" s="2">
        <v>35</v>
      </c>
      <c r="B36" s="2">
        <v>2035</v>
      </c>
      <c r="C36" s="2" t="s">
        <v>344</v>
      </c>
      <c r="D36" s="2" t="s">
        <v>432</v>
      </c>
      <c r="E36" s="2">
        <v>157</v>
      </c>
      <c r="F36" s="2">
        <v>4</v>
      </c>
      <c r="G36" s="2">
        <v>315</v>
      </c>
      <c r="H36" s="2" t="s">
        <v>341</v>
      </c>
      <c r="I36" s="2"/>
      <c r="J36" s="2" t="s">
        <v>496</v>
      </c>
      <c r="K36" s="2" t="s">
        <v>142</v>
      </c>
      <c r="L36" s="2" t="s">
        <v>143</v>
      </c>
      <c r="M36" s="5">
        <v>46159.499108796299</v>
      </c>
      <c r="N36" t="s">
        <v>505</v>
      </c>
      <c r="O36" s="6">
        <v>46159</v>
      </c>
      <c r="P36" t="s">
        <v>436</v>
      </c>
      <c r="Q36" t="s">
        <v>506</v>
      </c>
      <c r="R36" t="b">
        <v>1</v>
      </c>
      <c r="S36" t="s">
        <v>40</v>
      </c>
      <c r="T36">
        <v>24</v>
      </c>
      <c r="U36">
        <v>2000</v>
      </c>
      <c r="V36">
        <v>1.9995000000000001</v>
      </c>
      <c r="W36" t="s">
        <v>41</v>
      </c>
      <c r="X36" t="s">
        <v>42</v>
      </c>
      <c r="Y36" t="s">
        <v>43</v>
      </c>
    </row>
    <row r="37" spans="1:25" ht="15" customHeight="1">
      <c r="A37" s="2">
        <v>36</v>
      </c>
      <c r="B37" s="2">
        <v>2036</v>
      </c>
      <c r="C37" s="2" t="s">
        <v>344</v>
      </c>
      <c r="D37" s="2" t="s">
        <v>432</v>
      </c>
      <c r="E37" s="2">
        <v>158.5</v>
      </c>
      <c r="F37" s="2">
        <v>4</v>
      </c>
      <c r="G37" s="2">
        <v>320</v>
      </c>
      <c r="H37" s="2" t="s">
        <v>341</v>
      </c>
      <c r="I37" s="2"/>
      <c r="J37" s="2" t="s">
        <v>496</v>
      </c>
      <c r="K37" s="2" t="s">
        <v>142</v>
      </c>
      <c r="L37" s="2" t="s">
        <v>143</v>
      </c>
      <c r="M37" s="5">
        <v>46159.500520833331</v>
      </c>
      <c r="N37" t="s">
        <v>507</v>
      </c>
      <c r="O37" s="6">
        <v>46159</v>
      </c>
      <c r="P37" t="s">
        <v>436</v>
      </c>
      <c r="Q37" t="s">
        <v>508</v>
      </c>
      <c r="R37" t="b">
        <v>1</v>
      </c>
      <c r="S37" t="s">
        <v>40</v>
      </c>
      <c r="T37">
        <v>24</v>
      </c>
      <c r="U37">
        <v>2000</v>
      </c>
      <c r="V37">
        <v>1.9995000000000001</v>
      </c>
      <c r="W37" t="s">
        <v>41</v>
      </c>
      <c r="X37" t="s">
        <v>42</v>
      </c>
      <c r="Y37" t="s">
        <v>43</v>
      </c>
    </row>
    <row r="38" spans="1:25" ht="15" customHeight="1">
      <c r="A38" s="2">
        <v>37</v>
      </c>
      <c r="B38" s="2">
        <v>2037</v>
      </c>
      <c r="C38" s="2" t="s">
        <v>344</v>
      </c>
      <c r="D38" s="2" t="s">
        <v>432</v>
      </c>
      <c r="E38" s="2">
        <v>160</v>
      </c>
      <c r="F38" s="2">
        <v>4</v>
      </c>
      <c r="G38" s="2">
        <v>325</v>
      </c>
      <c r="H38" s="2" t="s">
        <v>341</v>
      </c>
      <c r="I38" s="2"/>
      <c r="J38" s="2" t="s">
        <v>496</v>
      </c>
      <c r="K38" s="2" t="s">
        <v>142</v>
      </c>
      <c r="L38" s="2" t="s">
        <v>143</v>
      </c>
      <c r="M38" s="5">
        <v>46159.502488425933</v>
      </c>
      <c r="N38" t="s">
        <v>509</v>
      </c>
      <c r="O38" s="6">
        <v>46159</v>
      </c>
      <c r="P38" t="s">
        <v>436</v>
      </c>
      <c r="Q38" t="s">
        <v>510</v>
      </c>
      <c r="R38" t="b">
        <v>1</v>
      </c>
      <c r="S38" t="s">
        <v>40</v>
      </c>
      <c r="T38">
        <v>24</v>
      </c>
      <c r="U38">
        <v>2000</v>
      </c>
      <c r="V38">
        <v>1.9995000000000001</v>
      </c>
      <c r="W38" t="s">
        <v>41</v>
      </c>
      <c r="X38" t="s">
        <v>42</v>
      </c>
      <c r="Y38" t="s">
        <v>43</v>
      </c>
    </row>
    <row r="39" spans="1:25" ht="15" customHeight="1">
      <c r="A39" s="2">
        <v>38</v>
      </c>
      <c r="B39" s="2">
        <v>2038</v>
      </c>
      <c r="C39" s="2" t="s">
        <v>344</v>
      </c>
      <c r="D39" s="2" t="s">
        <v>432</v>
      </c>
      <c r="E39" s="2">
        <v>161.5</v>
      </c>
      <c r="F39" s="2">
        <v>4</v>
      </c>
      <c r="G39" s="2">
        <v>330</v>
      </c>
      <c r="H39" s="2" t="s">
        <v>341</v>
      </c>
      <c r="I39" s="2"/>
      <c r="J39" s="2" t="s">
        <v>496</v>
      </c>
      <c r="K39" s="2" t="s">
        <v>142</v>
      </c>
      <c r="L39" s="2" t="s">
        <v>143</v>
      </c>
      <c r="M39" s="5">
        <v>46159.503969907397</v>
      </c>
      <c r="N39" t="s">
        <v>511</v>
      </c>
      <c r="O39" s="6">
        <v>46159</v>
      </c>
      <c r="P39" t="s">
        <v>436</v>
      </c>
      <c r="Q39" t="s">
        <v>512</v>
      </c>
      <c r="R39" t="b">
        <v>1</v>
      </c>
      <c r="S39" t="s">
        <v>40</v>
      </c>
      <c r="T39">
        <v>24</v>
      </c>
      <c r="U39">
        <v>2000</v>
      </c>
      <c r="V39">
        <v>1.9995000000000001</v>
      </c>
      <c r="W39" t="s">
        <v>41</v>
      </c>
      <c r="X39" t="s">
        <v>42</v>
      </c>
      <c r="Y39" t="s">
        <v>43</v>
      </c>
    </row>
    <row r="40" spans="1:25" ht="15" customHeight="1">
      <c r="A40" s="2">
        <v>39</v>
      </c>
      <c r="B40" s="2">
        <v>2039</v>
      </c>
      <c r="C40" s="2" t="s">
        <v>344</v>
      </c>
      <c r="D40" s="2" t="s">
        <v>432</v>
      </c>
      <c r="E40" s="2">
        <v>163</v>
      </c>
      <c r="F40" s="2">
        <v>4</v>
      </c>
      <c r="G40" s="2">
        <v>335</v>
      </c>
      <c r="H40" s="2" t="s">
        <v>341</v>
      </c>
      <c r="I40" s="2"/>
      <c r="J40" s="2" t="s">
        <v>496</v>
      </c>
      <c r="K40" s="2" t="s">
        <v>142</v>
      </c>
      <c r="L40" s="2" t="s">
        <v>143</v>
      </c>
      <c r="M40" s="5">
        <v>46159.505185185182</v>
      </c>
      <c r="N40" t="s">
        <v>513</v>
      </c>
      <c r="O40" s="6">
        <v>46159</v>
      </c>
      <c r="P40" t="s">
        <v>436</v>
      </c>
      <c r="Q40" t="s">
        <v>514</v>
      </c>
      <c r="R40" t="b">
        <v>1</v>
      </c>
      <c r="S40" t="s">
        <v>40</v>
      </c>
      <c r="T40">
        <v>24</v>
      </c>
      <c r="U40">
        <v>2000</v>
      </c>
      <c r="V40">
        <v>1.9995000000000001</v>
      </c>
      <c r="W40" t="s">
        <v>41</v>
      </c>
      <c r="X40" t="s">
        <v>42</v>
      </c>
      <c r="Y40" t="s">
        <v>43</v>
      </c>
    </row>
    <row r="41" spans="1:25" ht="15" customHeight="1">
      <c r="A41" s="2">
        <v>40</v>
      </c>
      <c r="B41" s="2">
        <v>2040</v>
      </c>
      <c r="C41" s="2" t="s">
        <v>344</v>
      </c>
      <c r="D41" s="2" t="s">
        <v>432</v>
      </c>
      <c r="E41" s="2">
        <v>164.5</v>
      </c>
      <c r="F41" s="2">
        <v>4</v>
      </c>
      <c r="G41" s="2">
        <v>340</v>
      </c>
      <c r="H41" s="2" t="s">
        <v>341</v>
      </c>
      <c r="I41" s="2"/>
      <c r="J41" s="2" t="s">
        <v>496</v>
      </c>
      <c r="K41" s="2" t="s">
        <v>142</v>
      </c>
      <c r="L41" s="2" t="s">
        <v>143</v>
      </c>
      <c r="M41" s="5">
        <v>46159.507569444453</v>
      </c>
      <c r="N41" t="s">
        <v>515</v>
      </c>
      <c r="O41" s="6">
        <v>46159</v>
      </c>
      <c r="P41" t="s">
        <v>436</v>
      </c>
      <c r="Q41" t="s">
        <v>516</v>
      </c>
      <c r="R41" t="b">
        <v>1</v>
      </c>
      <c r="S41" t="s">
        <v>40</v>
      </c>
      <c r="T41">
        <v>24</v>
      </c>
      <c r="U41">
        <v>2000</v>
      </c>
      <c r="V41">
        <v>1.9995000000000001</v>
      </c>
      <c r="W41" t="s">
        <v>41</v>
      </c>
      <c r="X41" t="s">
        <v>42</v>
      </c>
      <c r="Y41" t="s">
        <v>43</v>
      </c>
    </row>
    <row r="42" spans="1:25" ht="15" customHeight="1">
      <c r="A42" s="2">
        <v>41</v>
      </c>
      <c r="B42" s="2">
        <v>2041</v>
      </c>
      <c r="C42" s="2" t="s">
        <v>344</v>
      </c>
      <c r="D42" s="2" t="s">
        <v>432</v>
      </c>
      <c r="E42" s="2">
        <v>166</v>
      </c>
      <c r="F42" s="2">
        <v>4</v>
      </c>
      <c r="G42" s="2">
        <v>345</v>
      </c>
      <c r="H42" s="2" t="s">
        <v>341</v>
      </c>
      <c r="I42" s="2"/>
      <c r="J42" s="2" t="s">
        <v>496</v>
      </c>
      <c r="K42" s="2" t="s">
        <v>142</v>
      </c>
      <c r="L42" s="2" t="s">
        <v>143</v>
      </c>
      <c r="M42" s="5">
        <v>46159.510011574072</v>
      </c>
      <c r="N42" t="s">
        <v>517</v>
      </c>
      <c r="O42" s="6">
        <v>46159</v>
      </c>
      <c r="P42" t="s">
        <v>436</v>
      </c>
      <c r="Q42" t="s">
        <v>518</v>
      </c>
      <c r="R42" t="b">
        <v>1</v>
      </c>
      <c r="S42" t="s">
        <v>40</v>
      </c>
      <c r="T42">
        <v>24</v>
      </c>
      <c r="U42">
        <v>2000</v>
      </c>
      <c r="V42">
        <v>1.9995000000000001</v>
      </c>
      <c r="W42" t="s">
        <v>41</v>
      </c>
      <c r="X42" t="s">
        <v>42</v>
      </c>
      <c r="Y42" t="s">
        <v>43</v>
      </c>
    </row>
    <row r="43" spans="1:25" ht="15" customHeight="1">
      <c r="A43" s="2">
        <v>42</v>
      </c>
      <c r="B43" s="2">
        <v>2042</v>
      </c>
      <c r="C43" s="2" t="s">
        <v>344</v>
      </c>
      <c r="D43" s="2" t="s">
        <v>432</v>
      </c>
      <c r="E43" s="2">
        <v>167.5</v>
      </c>
      <c r="F43" s="2">
        <v>4</v>
      </c>
      <c r="G43" s="2">
        <v>350</v>
      </c>
      <c r="H43" s="2" t="s">
        <v>341</v>
      </c>
      <c r="I43" s="2"/>
      <c r="J43" s="2" t="s">
        <v>496</v>
      </c>
      <c r="K43" s="2" t="s">
        <v>142</v>
      </c>
      <c r="L43" s="2" t="s">
        <v>143</v>
      </c>
      <c r="M43" s="5">
        <v>46159.512627314813</v>
      </c>
      <c r="N43" t="s">
        <v>519</v>
      </c>
      <c r="O43" s="6">
        <v>46159</v>
      </c>
      <c r="P43" t="s">
        <v>436</v>
      </c>
      <c r="Q43" t="s">
        <v>520</v>
      </c>
      <c r="R43" t="b">
        <v>1</v>
      </c>
      <c r="S43" t="s">
        <v>40</v>
      </c>
      <c r="T43">
        <v>24</v>
      </c>
      <c r="U43">
        <v>2000</v>
      </c>
      <c r="V43">
        <v>1.9995000000000001</v>
      </c>
      <c r="W43" t="s">
        <v>41</v>
      </c>
      <c r="X43" t="s">
        <v>42</v>
      </c>
      <c r="Y43" t="s">
        <v>43</v>
      </c>
    </row>
    <row r="44" spans="1:25" ht="15" customHeight="1">
      <c r="A44" s="2">
        <v>43</v>
      </c>
      <c r="B44" s="2">
        <v>2043</v>
      </c>
      <c r="C44" s="2" t="s">
        <v>344</v>
      </c>
      <c r="D44" s="2" t="s">
        <v>432</v>
      </c>
      <c r="E44" s="2">
        <v>169</v>
      </c>
      <c r="F44" s="2">
        <v>4</v>
      </c>
      <c r="G44" s="2">
        <v>355</v>
      </c>
      <c r="H44" s="2" t="s">
        <v>341</v>
      </c>
      <c r="I44" s="2"/>
      <c r="J44" s="2" t="s">
        <v>496</v>
      </c>
      <c r="K44" s="2" t="s">
        <v>142</v>
      </c>
      <c r="L44" s="2" t="s">
        <v>143</v>
      </c>
      <c r="M44" s="5">
        <v>46159.514560185176</v>
      </c>
      <c r="N44" t="s">
        <v>521</v>
      </c>
      <c r="O44" s="6">
        <v>46159</v>
      </c>
      <c r="P44" t="s">
        <v>436</v>
      </c>
      <c r="Q44" t="s">
        <v>522</v>
      </c>
      <c r="R44" t="b">
        <v>1</v>
      </c>
      <c r="S44" t="s">
        <v>40</v>
      </c>
      <c r="T44">
        <v>24</v>
      </c>
      <c r="U44">
        <v>2000</v>
      </c>
      <c r="V44">
        <v>1.9995000000000001</v>
      </c>
      <c r="W44" t="s">
        <v>41</v>
      </c>
      <c r="X44" t="s">
        <v>42</v>
      </c>
      <c r="Y44" t="s">
        <v>43</v>
      </c>
    </row>
    <row r="45" spans="1:25" ht="15" customHeight="1">
      <c r="A45" s="2">
        <v>44</v>
      </c>
      <c r="B45" s="2">
        <v>2044</v>
      </c>
      <c r="C45" s="2" t="s">
        <v>344</v>
      </c>
      <c r="D45" s="2" t="s">
        <v>432</v>
      </c>
      <c r="E45" s="2">
        <v>170.5</v>
      </c>
      <c r="F45" s="2">
        <v>4</v>
      </c>
      <c r="G45" s="2">
        <v>360</v>
      </c>
      <c r="H45" s="2" t="s">
        <v>341</v>
      </c>
      <c r="I45" s="2"/>
      <c r="J45" s="2" t="s">
        <v>496</v>
      </c>
      <c r="K45" s="2" t="s">
        <v>142</v>
      </c>
      <c r="L45" s="2" t="s">
        <v>143</v>
      </c>
      <c r="M45" s="5">
        <v>46159.517164351862</v>
      </c>
      <c r="N45" t="s">
        <v>523</v>
      </c>
      <c r="O45" s="6">
        <v>46159</v>
      </c>
      <c r="P45" t="s">
        <v>436</v>
      </c>
      <c r="Q45" t="s">
        <v>524</v>
      </c>
      <c r="R45" t="b">
        <v>1</v>
      </c>
      <c r="S45" t="s">
        <v>40</v>
      </c>
      <c r="T45">
        <v>24</v>
      </c>
      <c r="U45">
        <v>2000</v>
      </c>
      <c r="V45">
        <v>1.9995000000000001</v>
      </c>
      <c r="W45" t="s">
        <v>41</v>
      </c>
      <c r="X45" t="s">
        <v>42</v>
      </c>
      <c r="Y45" t="s">
        <v>43</v>
      </c>
    </row>
    <row r="46" spans="1:25" ht="16" customHeight="1">
      <c r="A46" s="2">
        <v>45</v>
      </c>
      <c r="B46" s="2">
        <v>2045</v>
      </c>
      <c r="C46" s="2" t="s">
        <v>344</v>
      </c>
      <c r="D46" s="2" t="s">
        <v>432</v>
      </c>
      <c r="E46" s="4">
        <v>171.5</v>
      </c>
      <c r="F46" s="2">
        <v>4</v>
      </c>
      <c r="G46" s="2">
        <v>365</v>
      </c>
      <c r="H46" s="2" t="s">
        <v>341</v>
      </c>
      <c r="I46" s="4" t="s">
        <v>525</v>
      </c>
      <c r="J46" s="2" t="s">
        <v>496</v>
      </c>
      <c r="K46" s="2" t="s">
        <v>142</v>
      </c>
      <c r="L46" s="2" t="s">
        <v>143</v>
      </c>
      <c r="M46" s="5">
        <v>46159.519791666673</v>
      </c>
      <c r="N46" t="s">
        <v>526</v>
      </c>
      <c r="O46" s="6">
        <v>46159</v>
      </c>
      <c r="P46" t="s">
        <v>436</v>
      </c>
      <c r="Q46" t="s">
        <v>527</v>
      </c>
      <c r="R46" t="b">
        <v>1</v>
      </c>
      <c r="S46" t="s">
        <v>40</v>
      </c>
      <c r="T46">
        <v>24</v>
      </c>
      <c r="U46">
        <v>2000</v>
      </c>
      <c r="V46">
        <v>1.9995000000000001</v>
      </c>
      <c r="W46" t="s">
        <v>41</v>
      </c>
      <c r="X46" t="s">
        <v>42</v>
      </c>
      <c r="Y46" t="s">
        <v>43</v>
      </c>
    </row>
    <row r="47" spans="1:25" ht="15" customHeight="1">
      <c r="A47" s="2">
        <v>46</v>
      </c>
      <c r="B47" s="2">
        <v>2046</v>
      </c>
      <c r="C47" s="2" t="s">
        <v>344</v>
      </c>
      <c r="D47" s="2" t="s">
        <v>432</v>
      </c>
      <c r="E47" s="2">
        <v>173</v>
      </c>
      <c r="F47" s="2">
        <v>4</v>
      </c>
      <c r="G47" s="2">
        <v>370</v>
      </c>
      <c r="H47" s="2" t="s">
        <v>341</v>
      </c>
      <c r="I47" s="2"/>
      <c r="J47" s="2" t="s">
        <v>496</v>
      </c>
      <c r="K47" s="2" t="s">
        <v>142</v>
      </c>
      <c r="L47" s="2" t="s">
        <v>143</v>
      </c>
      <c r="M47" s="5">
        <v>46159.521307870367</v>
      </c>
      <c r="N47" t="s">
        <v>528</v>
      </c>
      <c r="O47" s="6">
        <v>46159</v>
      </c>
      <c r="P47" t="s">
        <v>436</v>
      </c>
      <c r="Q47" t="s">
        <v>529</v>
      </c>
      <c r="R47" t="b">
        <v>1</v>
      </c>
      <c r="S47" t="s">
        <v>40</v>
      </c>
      <c r="T47">
        <v>24</v>
      </c>
      <c r="U47">
        <v>2000</v>
      </c>
      <c r="V47">
        <v>1.9995000000000001</v>
      </c>
      <c r="W47" t="s">
        <v>41</v>
      </c>
      <c r="X47" t="s">
        <v>42</v>
      </c>
      <c r="Y47" t="s">
        <v>43</v>
      </c>
    </row>
    <row r="48" spans="1:25" ht="15" customHeight="1">
      <c r="A48" s="2">
        <v>47</v>
      </c>
      <c r="B48" s="2">
        <v>2047</v>
      </c>
      <c r="C48" s="2" t="s">
        <v>344</v>
      </c>
      <c r="D48" s="2" t="s">
        <v>432</v>
      </c>
      <c r="E48" s="2">
        <v>174.5</v>
      </c>
      <c r="F48" s="2">
        <v>4</v>
      </c>
      <c r="G48" s="2">
        <v>375</v>
      </c>
      <c r="H48" s="2" t="s">
        <v>341</v>
      </c>
      <c r="I48" s="2"/>
      <c r="J48" s="2" t="s">
        <v>496</v>
      </c>
      <c r="K48" s="2" t="s">
        <v>142</v>
      </c>
      <c r="L48" s="2" t="s">
        <v>143</v>
      </c>
      <c r="M48" s="5">
        <v>46159.525995370372</v>
      </c>
      <c r="N48" t="s">
        <v>530</v>
      </c>
      <c r="O48" s="6">
        <v>46159</v>
      </c>
      <c r="P48" t="s">
        <v>436</v>
      </c>
      <c r="Q48" t="s">
        <v>531</v>
      </c>
      <c r="R48" t="b">
        <v>1</v>
      </c>
      <c r="S48" t="s">
        <v>40</v>
      </c>
      <c r="T48">
        <v>24</v>
      </c>
      <c r="U48">
        <v>2000</v>
      </c>
      <c r="V48">
        <v>1.9995000000000001</v>
      </c>
      <c r="W48" t="s">
        <v>41</v>
      </c>
      <c r="X48" t="s">
        <v>42</v>
      </c>
      <c r="Y48" t="s">
        <v>43</v>
      </c>
    </row>
    <row r="49" spans="1:25" ht="15" customHeight="1">
      <c r="A49" s="2">
        <v>48</v>
      </c>
      <c r="B49" s="2">
        <v>2048</v>
      </c>
      <c r="C49" s="2" t="s">
        <v>344</v>
      </c>
      <c r="D49" s="2" t="s">
        <v>432</v>
      </c>
      <c r="E49" s="2">
        <v>176</v>
      </c>
      <c r="F49" s="2">
        <v>4</v>
      </c>
      <c r="G49" s="2">
        <v>380</v>
      </c>
      <c r="H49" s="2" t="s">
        <v>341</v>
      </c>
      <c r="I49" s="2"/>
      <c r="J49" s="2" t="s">
        <v>496</v>
      </c>
      <c r="K49" s="2" t="s">
        <v>142</v>
      </c>
      <c r="L49" s="2" t="s">
        <v>143</v>
      </c>
      <c r="M49" s="5">
        <v>46159.528379629628</v>
      </c>
      <c r="N49" t="s">
        <v>532</v>
      </c>
      <c r="O49" s="6">
        <v>46159</v>
      </c>
      <c r="P49" t="s">
        <v>436</v>
      </c>
      <c r="Q49" t="s">
        <v>533</v>
      </c>
      <c r="R49" t="b">
        <v>1</v>
      </c>
      <c r="S49" t="s">
        <v>40</v>
      </c>
      <c r="T49">
        <v>24</v>
      </c>
      <c r="U49">
        <v>2000</v>
      </c>
      <c r="V49">
        <v>1.9995000000000001</v>
      </c>
      <c r="W49" t="s">
        <v>41</v>
      </c>
      <c r="X49" t="s">
        <v>42</v>
      </c>
      <c r="Y49" t="s">
        <v>43</v>
      </c>
    </row>
    <row r="50" spans="1:25" ht="15" customHeight="1">
      <c r="A50" s="2">
        <v>49</v>
      </c>
      <c r="B50" s="2">
        <v>2049</v>
      </c>
      <c r="C50" s="2" t="s">
        <v>344</v>
      </c>
      <c r="D50" s="2" t="s">
        <v>432</v>
      </c>
      <c r="E50" s="2">
        <v>177.5</v>
      </c>
      <c r="F50" s="2">
        <v>4</v>
      </c>
      <c r="G50" s="2">
        <v>385</v>
      </c>
      <c r="H50" s="2" t="s">
        <v>341</v>
      </c>
      <c r="I50" s="2"/>
      <c r="J50" s="2" t="s">
        <v>496</v>
      </c>
      <c r="K50" s="2" t="s">
        <v>142</v>
      </c>
      <c r="L50" s="2" t="s">
        <v>143</v>
      </c>
      <c r="M50" s="5">
        <v>46159.531076388892</v>
      </c>
      <c r="N50" t="s">
        <v>534</v>
      </c>
      <c r="O50" s="6">
        <v>46159</v>
      </c>
      <c r="P50" t="s">
        <v>436</v>
      </c>
      <c r="Q50" t="s">
        <v>535</v>
      </c>
      <c r="R50" t="b">
        <v>1</v>
      </c>
      <c r="S50" t="s">
        <v>40</v>
      </c>
      <c r="T50">
        <v>24</v>
      </c>
      <c r="U50">
        <v>2000</v>
      </c>
      <c r="V50">
        <v>1.9995000000000001</v>
      </c>
      <c r="W50" t="s">
        <v>41</v>
      </c>
      <c r="X50" t="s">
        <v>42</v>
      </c>
      <c r="Y50" t="s">
        <v>43</v>
      </c>
    </row>
    <row r="51" spans="1:25" ht="15" customHeight="1">
      <c r="A51" s="2">
        <v>50</v>
      </c>
      <c r="B51" s="2">
        <v>2050</v>
      </c>
      <c r="C51" s="2" t="s">
        <v>344</v>
      </c>
      <c r="D51" s="2" t="s">
        <v>432</v>
      </c>
      <c r="E51" s="2">
        <v>179</v>
      </c>
      <c r="F51" s="2">
        <v>4</v>
      </c>
      <c r="G51" s="2">
        <v>390</v>
      </c>
      <c r="H51" s="2" t="s">
        <v>341</v>
      </c>
      <c r="I51" s="2"/>
      <c r="J51" s="2" t="s">
        <v>496</v>
      </c>
      <c r="K51" s="2" t="s">
        <v>142</v>
      </c>
      <c r="L51" s="2" t="s">
        <v>143</v>
      </c>
      <c r="M51" s="5">
        <v>46159.53329861111</v>
      </c>
      <c r="N51" t="s">
        <v>536</v>
      </c>
      <c r="O51" s="6">
        <v>46159</v>
      </c>
      <c r="P51" t="s">
        <v>436</v>
      </c>
      <c r="Q51" t="s">
        <v>537</v>
      </c>
      <c r="R51" t="b">
        <v>1</v>
      </c>
      <c r="S51" t="s">
        <v>40</v>
      </c>
      <c r="T51">
        <v>24</v>
      </c>
      <c r="U51">
        <v>2000</v>
      </c>
      <c r="V51">
        <v>1.9995000000000001</v>
      </c>
      <c r="W51" t="s">
        <v>41</v>
      </c>
      <c r="X51" t="s">
        <v>42</v>
      </c>
      <c r="Y51" t="s">
        <v>43</v>
      </c>
    </row>
    <row r="52" spans="1:25" ht="15" customHeight="1">
      <c r="A52" s="2">
        <v>51</v>
      </c>
      <c r="B52" s="2">
        <v>2051</v>
      </c>
      <c r="C52" s="2" t="s">
        <v>344</v>
      </c>
      <c r="D52" s="2" t="s">
        <v>432</v>
      </c>
      <c r="E52" s="2">
        <v>180.5</v>
      </c>
      <c r="F52" s="2">
        <v>4</v>
      </c>
      <c r="G52" s="2">
        <v>395</v>
      </c>
      <c r="H52" s="2" t="s">
        <v>341</v>
      </c>
      <c r="I52" s="2"/>
      <c r="J52" s="2" t="s">
        <v>496</v>
      </c>
      <c r="K52" s="2" t="s">
        <v>142</v>
      </c>
      <c r="L52" s="2" t="s">
        <v>143</v>
      </c>
      <c r="M52" s="5">
        <v>46159.534814814811</v>
      </c>
      <c r="N52" t="s">
        <v>538</v>
      </c>
      <c r="O52" s="6">
        <v>46159</v>
      </c>
      <c r="P52" t="s">
        <v>436</v>
      </c>
      <c r="Q52" t="s">
        <v>539</v>
      </c>
      <c r="R52" t="b">
        <v>1</v>
      </c>
      <c r="S52" t="s">
        <v>40</v>
      </c>
      <c r="T52">
        <v>24</v>
      </c>
      <c r="U52">
        <v>2000</v>
      </c>
      <c r="V52">
        <v>1.9995000000000001</v>
      </c>
      <c r="W52" t="s">
        <v>41</v>
      </c>
      <c r="X52" t="s">
        <v>42</v>
      </c>
      <c r="Y52" t="s">
        <v>43</v>
      </c>
    </row>
    <row r="53" spans="1:25" ht="15" customHeight="1">
      <c r="A53" s="2">
        <v>52</v>
      </c>
      <c r="B53" s="2">
        <v>2052</v>
      </c>
      <c r="C53" s="2" t="s">
        <v>344</v>
      </c>
      <c r="D53" s="2" t="s">
        <v>432</v>
      </c>
      <c r="E53" s="2">
        <v>182</v>
      </c>
      <c r="F53" s="2">
        <v>4</v>
      </c>
      <c r="G53" s="2">
        <v>400</v>
      </c>
      <c r="H53" s="2" t="s">
        <v>341</v>
      </c>
      <c r="I53" s="2"/>
      <c r="J53" s="2" t="s">
        <v>496</v>
      </c>
      <c r="K53" s="2" t="s">
        <v>142</v>
      </c>
      <c r="L53" s="2" t="s">
        <v>143</v>
      </c>
      <c r="M53" s="5">
        <v>46159.537546296298</v>
      </c>
      <c r="N53" t="s">
        <v>540</v>
      </c>
      <c r="O53" s="6">
        <v>46159</v>
      </c>
      <c r="P53" t="s">
        <v>436</v>
      </c>
      <c r="Q53" t="s">
        <v>541</v>
      </c>
      <c r="R53" t="b">
        <v>1</v>
      </c>
      <c r="S53" t="s">
        <v>40</v>
      </c>
      <c r="T53">
        <v>24</v>
      </c>
      <c r="U53">
        <v>2000</v>
      </c>
      <c r="V53">
        <v>1.9995000000000001</v>
      </c>
      <c r="W53" t="s">
        <v>41</v>
      </c>
      <c r="X53" t="s">
        <v>42</v>
      </c>
      <c r="Y53" t="s">
        <v>43</v>
      </c>
    </row>
    <row r="54" spans="1:25" ht="15" customHeight="1">
      <c r="A54" s="2">
        <v>53</v>
      </c>
      <c r="B54" s="2">
        <v>2053</v>
      </c>
      <c r="C54" s="2" t="s">
        <v>344</v>
      </c>
      <c r="D54" s="2" t="s">
        <v>432</v>
      </c>
      <c r="E54" s="2">
        <v>183.5</v>
      </c>
      <c r="F54" s="2">
        <v>4</v>
      </c>
      <c r="G54" s="2">
        <v>405</v>
      </c>
      <c r="H54" s="2" t="s">
        <v>341</v>
      </c>
      <c r="I54" s="2"/>
      <c r="J54" s="2" t="s">
        <v>496</v>
      </c>
      <c r="K54" s="2" t="s">
        <v>142</v>
      </c>
      <c r="L54" s="2" t="s">
        <v>143</v>
      </c>
      <c r="M54" s="5">
        <v>46159.539421296293</v>
      </c>
      <c r="N54" t="s">
        <v>542</v>
      </c>
      <c r="O54" s="6">
        <v>46159</v>
      </c>
      <c r="P54" t="s">
        <v>436</v>
      </c>
      <c r="Q54" t="s">
        <v>543</v>
      </c>
      <c r="R54" t="b">
        <v>1</v>
      </c>
      <c r="S54" t="s">
        <v>40</v>
      </c>
      <c r="T54">
        <v>24</v>
      </c>
      <c r="U54">
        <v>2000</v>
      </c>
      <c r="V54">
        <v>1.9995000000000001</v>
      </c>
      <c r="W54" t="s">
        <v>41</v>
      </c>
      <c r="X54" t="s">
        <v>42</v>
      </c>
      <c r="Y54" t="s">
        <v>43</v>
      </c>
    </row>
    <row r="55" spans="1:25" ht="15" customHeight="1">
      <c r="A55" s="2">
        <v>54</v>
      </c>
      <c r="B55" s="2">
        <v>2054</v>
      </c>
      <c r="C55" s="2" t="s">
        <v>344</v>
      </c>
      <c r="D55" s="2" t="s">
        <v>432</v>
      </c>
      <c r="E55" s="2">
        <v>185</v>
      </c>
      <c r="F55" s="2">
        <v>4</v>
      </c>
      <c r="G55" s="2">
        <v>410</v>
      </c>
      <c r="H55" s="2" t="s">
        <v>341</v>
      </c>
      <c r="I55" s="2"/>
      <c r="J55" s="2" t="s">
        <v>496</v>
      </c>
      <c r="K55" s="2" t="s">
        <v>142</v>
      </c>
      <c r="L55" s="2" t="s">
        <v>143</v>
      </c>
      <c r="M55" s="5">
        <v>46159.557673611111</v>
      </c>
      <c r="N55" t="s">
        <v>544</v>
      </c>
      <c r="O55" s="6">
        <v>46159</v>
      </c>
      <c r="P55" t="s">
        <v>436</v>
      </c>
      <c r="Q55" t="s">
        <v>545</v>
      </c>
      <c r="R55" t="b">
        <v>1</v>
      </c>
      <c r="S55" t="s">
        <v>40</v>
      </c>
      <c r="T55">
        <v>24</v>
      </c>
      <c r="U55">
        <v>2000</v>
      </c>
      <c r="V55">
        <v>1.9995000000000001</v>
      </c>
      <c r="W55" t="s">
        <v>41</v>
      </c>
      <c r="X55" t="s">
        <v>42</v>
      </c>
      <c r="Y55" t="s">
        <v>43</v>
      </c>
    </row>
    <row r="56" spans="1:25" ht="15" customHeight="1">
      <c r="A56" s="2">
        <v>55</v>
      </c>
      <c r="B56" s="2">
        <v>2055</v>
      </c>
      <c r="C56" s="2" t="s">
        <v>344</v>
      </c>
      <c r="D56" s="2" t="s">
        <v>432</v>
      </c>
      <c r="E56" s="2">
        <v>186.5</v>
      </c>
      <c r="F56" s="2">
        <v>4</v>
      </c>
      <c r="G56" s="2">
        <v>415</v>
      </c>
      <c r="H56" s="2" t="s">
        <v>341</v>
      </c>
      <c r="I56" s="2"/>
      <c r="J56" s="2" t="s">
        <v>496</v>
      </c>
      <c r="K56" s="2" t="s">
        <v>142</v>
      </c>
      <c r="L56" s="2" t="s">
        <v>143</v>
      </c>
      <c r="M56" s="5">
        <v>46159.559236111112</v>
      </c>
      <c r="N56" t="s">
        <v>546</v>
      </c>
      <c r="O56" s="6">
        <v>46159</v>
      </c>
      <c r="P56" t="s">
        <v>436</v>
      </c>
      <c r="Q56" t="s">
        <v>547</v>
      </c>
      <c r="R56" t="b">
        <v>1</v>
      </c>
      <c r="S56" t="s">
        <v>40</v>
      </c>
      <c r="T56">
        <v>24</v>
      </c>
      <c r="U56">
        <v>2000</v>
      </c>
      <c r="V56">
        <v>1.9995000000000001</v>
      </c>
      <c r="W56" t="s">
        <v>41</v>
      </c>
      <c r="X56" t="s">
        <v>42</v>
      </c>
      <c r="Y56" t="s">
        <v>43</v>
      </c>
    </row>
    <row r="57" spans="1:25" ht="15" customHeight="1">
      <c r="A57" s="2">
        <v>56</v>
      </c>
      <c r="B57" s="2">
        <v>2056</v>
      </c>
      <c r="C57" s="2" t="s">
        <v>344</v>
      </c>
      <c r="D57" s="2" t="s">
        <v>432</v>
      </c>
      <c r="E57" s="2">
        <v>188</v>
      </c>
      <c r="F57" s="2">
        <v>4</v>
      </c>
      <c r="G57" s="2">
        <v>420</v>
      </c>
      <c r="H57" s="2" t="s">
        <v>341</v>
      </c>
      <c r="I57" s="2"/>
      <c r="J57" s="2" t="s">
        <v>496</v>
      </c>
      <c r="K57" s="2" t="s">
        <v>142</v>
      </c>
      <c r="L57" s="2" t="s">
        <v>143</v>
      </c>
      <c r="M57" s="5">
        <v>46159.563564814824</v>
      </c>
      <c r="N57" t="s">
        <v>548</v>
      </c>
      <c r="O57" s="6">
        <v>46159</v>
      </c>
      <c r="P57" t="s">
        <v>436</v>
      </c>
      <c r="Q57" t="s">
        <v>549</v>
      </c>
      <c r="R57" t="b">
        <v>1</v>
      </c>
      <c r="S57" t="s">
        <v>40</v>
      </c>
      <c r="T57">
        <v>24</v>
      </c>
      <c r="U57">
        <v>2000</v>
      </c>
      <c r="V57">
        <v>1.9995000000000001</v>
      </c>
      <c r="W57" t="s">
        <v>41</v>
      </c>
      <c r="X57" t="s">
        <v>42</v>
      </c>
      <c r="Y57" t="s">
        <v>43</v>
      </c>
    </row>
    <row r="58" spans="1:25" ht="15" customHeight="1">
      <c r="A58" s="2">
        <v>57</v>
      </c>
      <c r="B58" s="2">
        <v>2057</v>
      </c>
      <c r="C58" s="2" t="s">
        <v>344</v>
      </c>
      <c r="D58" s="2" t="s">
        <v>432</v>
      </c>
      <c r="E58" s="2">
        <v>189.5</v>
      </c>
      <c r="F58" s="2">
        <v>4</v>
      </c>
      <c r="G58" s="2">
        <v>425</v>
      </c>
      <c r="H58" s="2" t="s">
        <v>341</v>
      </c>
      <c r="I58" s="2"/>
      <c r="J58" s="2" t="s">
        <v>496</v>
      </c>
      <c r="K58" s="2" t="s">
        <v>142</v>
      </c>
      <c r="L58" s="2" t="s">
        <v>143</v>
      </c>
      <c r="M58" s="5">
        <v>46159.564953703702</v>
      </c>
      <c r="N58" t="s">
        <v>550</v>
      </c>
      <c r="O58" s="6">
        <v>46159</v>
      </c>
      <c r="P58" t="s">
        <v>436</v>
      </c>
      <c r="Q58" t="s">
        <v>551</v>
      </c>
      <c r="R58" t="b">
        <v>1</v>
      </c>
      <c r="S58" t="s">
        <v>40</v>
      </c>
      <c r="T58">
        <v>24</v>
      </c>
      <c r="U58">
        <v>2000</v>
      </c>
      <c r="V58">
        <v>1.9995000000000001</v>
      </c>
      <c r="W58" t="s">
        <v>41</v>
      </c>
      <c r="X58" t="s">
        <v>42</v>
      </c>
      <c r="Y58" t="s">
        <v>43</v>
      </c>
    </row>
    <row r="59" spans="1:25" ht="15" customHeight="1">
      <c r="A59" s="2">
        <v>58</v>
      </c>
      <c r="B59" s="2">
        <v>2058</v>
      </c>
      <c r="C59" s="2" t="s">
        <v>344</v>
      </c>
      <c r="D59" s="2" t="s">
        <v>432</v>
      </c>
      <c r="E59" s="2">
        <v>191</v>
      </c>
      <c r="F59" s="2">
        <v>4</v>
      </c>
      <c r="G59" s="2">
        <v>430</v>
      </c>
      <c r="H59" s="2" t="s">
        <v>341</v>
      </c>
      <c r="I59" s="2"/>
      <c r="J59" s="2" t="s">
        <v>496</v>
      </c>
      <c r="K59" s="2" t="s">
        <v>142</v>
      </c>
      <c r="L59" s="2" t="s">
        <v>143</v>
      </c>
      <c r="M59" s="5">
        <v>46159.566840277781</v>
      </c>
      <c r="N59" t="s">
        <v>552</v>
      </c>
      <c r="O59" s="6">
        <v>46159</v>
      </c>
      <c r="P59" t="s">
        <v>436</v>
      </c>
      <c r="Q59" t="s">
        <v>553</v>
      </c>
      <c r="R59" t="b">
        <v>1</v>
      </c>
      <c r="S59" t="s">
        <v>40</v>
      </c>
      <c r="T59">
        <v>24</v>
      </c>
      <c r="U59">
        <v>2000</v>
      </c>
      <c r="V59">
        <v>1.9995000000000001</v>
      </c>
      <c r="W59" t="s">
        <v>41</v>
      </c>
      <c r="X59" t="s">
        <v>42</v>
      </c>
      <c r="Y59" t="s">
        <v>43</v>
      </c>
    </row>
    <row r="60" spans="1:25" ht="15" customHeight="1">
      <c r="A60" s="2">
        <v>59</v>
      </c>
      <c r="B60" s="2">
        <v>2059</v>
      </c>
      <c r="C60" s="2" t="s">
        <v>344</v>
      </c>
      <c r="D60" s="2" t="s">
        <v>432</v>
      </c>
      <c r="E60" s="2">
        <v>192.5</v>
      </c>
      <c r="F60" s="2">
        <v>4</v>
      </c>
      <c r="G60" s="2">
        <v>435</v>
      </c>
      <c r="H60" s="2" t="s">
        <v>341</v>
      </c>
      <c r="I60" s="2"/>
      <c r="J60" s="2" t="s">
        <v>496</v>
      </c>
      <c r="K60" s="2" t="s">
        <v>142</v>
      </c>
      <c r="L60" s="2" t="s">
        <v>143</v>
      </c>
      <c r="M60" s="5">
        <v>46159.568229166667</v>
      </c>
      <c r="N60" t="s">
        <v>554</v>
      </c>
      <c r="O60" s="6">
        <v>46159</v>
      </c>
      <c r="P60" t="s">
        <v>436</v>
      </c>
      <c r="Q60" t="s">
        <v>555</v>
      </c>
      <c r="R60" t="b">
        <v>1</v>
      </c>
      <c r="S60" t="s">
        <v>40</v>
      </c>
      <c r="T60">
        <v>24</v>
      </c>
      <c r="U60">
        <v>2000</v>
      </c>
      <c r="V60">
        <v>1.9995000000000001</v>
      </c>
      <c r="W60" t="s">
        <v>41</v>
      </c>
      <c r="X60" t="s">
        <v>42</v>
      </c>
      <c r="Y60" t="s">
        <v>43</v>
      </c>
    </row>
    <row r="61" spans="1:25" ht="15" customHeight="1">
      <c r="A61" s="2">
        <v>60</v>
      </c>
      <c r="B61" s="2">
        <v>2060</v>
      </c>
      <c r="C61" s="2" t="s">
        <v>344</v>
      </c>
      <c r="D61" s="2" t="s">
        <v>432</v>
      </c>
      <c r="E61" s="2">
        <v>194</v>
      </c>
      <c r="F61" s="2">
        <v>4</v>
      </c>
      <c r="G61" s="2">
        <v>440</v>
      </c>
      <c r="H61" s="2" t="s">
        <v>341</v>
      </c>
      <c r="I61" s="2"/>
      <c r="J61" s="2" t="s">
        <v>496</v>
      </c>
      <c r="K61" s="2" t="s">
        <v>142</v>
      </c>
      <c r="L61" s="2" t="s">
        <v>143</v>
      </c>
      <c r="M61" s="5">
        <v>46159.569548611107</v>
      </c>
      <c r="N61" t="s">
        <v>556</v>
      </c>
      <c r="O61" s="6">
        <v>46159</v>
      </c>
      <c r="P61" t="s">
        <v>436</v>
      </c>
      <c r="Q61" t="s">
        <v>557</v>
      </c>
      <c r="R61" t="b">
        <v>1</v>
      </c>
      <c r="S61" t="s">
        <v>40</v>
      </c>
      <c r="T61">
        <v>24</v>
      </c>
      <c r="U61">
        <v>2000</v>
      </c>
      <c r="V61">
        <v>1.9995000000000001</v>
      </c>
      <c r="W61" t="s">
        <v>41</v>
      </c>
      <c r="X61" t="s">
        <v>42</v>
      </c>
      <c r="Y61" t="s">
        <v>43</v>
      </c>
    </row>
    <row r="62" spans="1:25" ht="15" customHeight="1">
      <c r="A62" s="2">
        <v>61</v>
      </c>
      <c r="B62" s="2">
        <v>2061</v>
      </c>
      <c r="C62" s="2" t="s">
        <v>344</v>
      </c>
      <c r="D62" s="2" t="s">
        <v>432</v>
      </c>
      <c r="E62" s="2">
        <v>195.5</v>
      </c>
      <c r="F62" s="2">
        <v>4</v>
      </c>
      <c r="G62" s="2">
        <v>445</v>
      </c>
      <c r="H62" s="2" t="s">
        <v>341</v>
      </c>
      <c r="I62" s="2"/>
      <c r="J62" s="2" t="s">
        <v>558</v>
      </c>
      <c r="K62" s="2" t="s">
        <v>142</v>
      </c>
      <c r="L62" s="2" t="s">
        <v>143</v>
      </c>
      <c r="M62" s="5">
        <v>46159.571122685193</v>
      </c>
      <c r="N62" t="s">
        <v>559</v>
      </c>
      <c r="O62" s="6">
        <v>46159</v>
      </c>
      <c r="P62" t="s">
        <v>436</v>
      </c>
      <c r="Q62" t="s">
        <v>560</v>
      </c>
      <c r="R62" t="b">
        <v>1</v>
      </c>
      <c r="S62" t="s">
        <v>40</v>
      </c>
      <c r="T62">
        <v>24</v>
      </c>
      <c r="U62">
        <v>2000</v>
      </c>
      <c r="V62">
        <v>1.9995000000000001</v>
      </c>
      <c r="W62" t="s">
        <v>41</v>
      </c>
      <c r="X62" t="s">
        <v>42</v>
      </c>
      <c r="Y62" t="s">
        <v>43</v>
      </c>
    </row>
    <row r="63" spans="1:25" ht="15" customHeight="1">
      <c r="A63" s="2">
        <v>62</v>
      </c>
      <c r="B63" s="2">
        <v>2062</v>
      </c>
      <c r="C63" s="2" t="s">
        <v>344</v>
      </c>
      <c r="D63" s="2" t="s">
        <v>432</v>
      </c>
      <c r="E63" s="2">
        <v>197</v>
      </c>
      <c r="F63" s="2">
        <v>4</v>
      </c>
      <c r="G63" s="2">
        <v>450</v>
      </c>
      <c r="H63" s="2" t="s">
        <v>341</v>
      </c>
      <c r="I63" s="2"/>
      <c r="J63" s="2" t="s">
        <v>561</v>
      </c>
      <c r="K63" s="2" t="s">
        <v>142</v>
      </c>
      <c r="L63" s="2" t="s">
        <v>143</v>
      </c>
      <c r="M63" s="5">
        <v>46159.574340277781</v>
      </c>
      <c r="N63" t="s">
        <v>562</v>
      </c>
      <c r="O63" s="6">
        <v>46159</v>
      </c>
      <c r="P63" t="s">
        <v>436</v>
      </c>
      <c r="Q63" t="s">
        <v>563</v>
      </c>
      <c r="R63" t="b">
        <v>1</v>
      </c>
      <c r="S63" t="s">
        <v>40</v>
      </c>
      <c r="T63">
        <v>24</v>
      </c>
      <c r="U63">
        <v>2000</v>
      </c>
      <c r="V63">
        <v>1.9995000000000001</v>
      </c>
      <c r="W63" t="s">
        <v>41</v>
      </c>
      <c r="X63" t="s">
        <v>42</v>
      </c>
      <c r="Y63" t="s">
        <v>43</v>
      </c>
    </row>
    <row r="64" spans="1:25" ht="16" customHeight="1">
      <c r="A64" s="2">
        <v>63</v>
      </c>
      <c r="B64" s="2">
        <v>2063</v>
      </c>
      <c r="C64" s="2" t="s">
        <v>344</v>
      </c>
      <c r="D64" s="2" t="s">
        <v>432</v>
      </c>
      <c r="E64" s="4">
        <v>199.5</v>
      </c>
      <c r="F64" s="2">
        <v>4</v>
      </c>
      <c r="G64" s="2">
        <v>455</v>
      </c>
      <c r="H64" s="2" t="s">
        <v>341</v>
      </c>
      <c r="I64" s="4" t="s">
        <v>564</v>
      </c>
      <c r="J64" s="2" t="s">
        <v>565</v>
      </c>
      <c r="K64" s="2" t="s">
        <v>142</v>
      </c>
      <c r="L64" s="2" t="s">
        <v>143</v>
      </c>
      <c r="M64" s="5">
        <v>46159.577719907407</v>
      </c>
      <c r="N64" t="s">
        <v>566</v>
      </c>
      <c r="O64" s="6">
        <v>46159</v>
      </c>
      <c r="P64" t="s">
        <v>436</v>
      </c>
      <c r="Q64" t="s">
        <v>567</v>
      </c>
      <c r="R64" t="b">
        <v>1</v>
      </c>
      <c r="S64" t="s">
        <v>40</v>
      </c>
      <c r="T64">
        <v>24</v>
      </c>
      <c r="U64">
        <v>2000</v>
      </c>
      <c r="V64">
        <v>1.9995000000000001</v>
      </c>
      <c r="W64" t="s">
        <v>41</v>
      </c>
      <c r="X64" t="s">
        <v>42</v>
      </c>
      <c r="Y64" t="s">
        <v>43</v>
      </c>
    </row>
    <row r="65" spans="1:25" ht="15" customHeight="1">
      <c r="A65" s="2">
        <v>64</v>
      </c>
      <c r="B65" s="2">
        <v>2064</v>
      </c>
      <c r="C65" s="2" t="s">
        <v>344</v>
      </c>
      <c r="D65" s="2" t="s">
        <v>432</v>
      </c>
      <c r="E65" s="2">
        <v>198.5</v>
      </c>
      <c r="F65" s="2">
        <v>4</v>
      </c>
      <c r="G65" s="2">
        <v>455</v>
      </c>
      <c r="H65" s="2" t="s">
        <v>341</v>
      </c>
      <c r="I65" s="2" t="s">
        <v>568</v>
      </c>
      <c r="J65" s="2" t="s">
        <v>236</v>
      </c>
      <c r="K65" s="2" t="s">
        <v>142</v>
      </c>
      <c r="L65" s="2" t="s">
        <v>143</v>
      </c>
      <c r="M65" s="5">
        <v>46159.584710648152</v>
      </c>
      <c r="N65" t="s">
        <v>569</v>
      </c>
      <c r="O65" s="6">
        <v>46159</v>
      </c>
      <c r="P65" t="s">
        <v>436</v>
      </c>
      <c r="Q65" t="s">
        <v>570</v>
      </c>
      <c r="R65" t="b">
        <v>1</v>
      </c>
      <c r="S65" t="s">
        <v>40</v>
      </c>
      <c r="T65">
        <v>24</v>
      </c>
      <c r="U65">
        <v>2000</v>
      </c>
      <c r="V65">
        <v>1.9995000000000001</v>
      </c>
      <c r="W65" t="s">
        <v>41</v>
      </c>
      <c r="X65" t="s">
        <v>42</v>
      </c>
      <c r="Y65" t="s">
        <v>43</v>
      </c>
    </row>
    <row r="66" spans="1:25" ht="15" customHeight="1">
      <c r="A66" s="2">
        <v>65</v>
      </c>
      <c r="B66" s="2">
        <v>2065</v>
      </c>
      <c r="C66" s="2" t="s">
        <v>344</v>
      </c>
      <c r="D66" s="2" t="s">
        <v>432</v>
      </c>
      <c r="E66" s="2">
        <v>200</v>
      </c>
      <c r="F66" s="2">
        <v>4</v>
      </c>
      <c r="G66" s="2">
        <v>460</v>
      </c>
      <c r="H66" s="2" t="s">
        <v>341</v>
      </c>
      <c r="I66" s="2"/>
      <c r="J66" s="2" t="s">
        <v>293</v>
      </c>
      <c r="K66" s="2" t="s">
        <v>142</v>
      </c>
      <c r="L66" s="2" t="s">
        <v>143</v>
      </c>
      <c r="M66" s="5">
        <v>46159.586469907408</v>
      </c>
      <c r="N66" t="s">
        <v>571</v>
      </c>
      <c r="O66" s="6">
        <v>46159</v>
      </c>
      <c r="P66" t="s">
        <v>436</v>
      </c>
      <c r="Q66" t="s">
        <v>572</v>
      </c>
      <c r="R66" t="b">
        <v>1</v>
      </c>
      <c r="S66" t="s">
        <v>40</v>
      </c>
      <c r="T66">
        <v>24</v>
      </c>
      <c r="U66">
        <v>2000</v>
      </c>
      <c r="V66">
        <v>1.9995000000000001</v>
      </c>
      <c r="W66" t="s">
        <v>41</v>
      </c>
      <c r="X66" t="s">
        <v>42</v>
      </c>
      <c r="Y66" t="s">
        <v>43</v>
      </c>
    </row>
    <row r="67" spans="1:25" ht="15" customHeight="1">
      <c r="A67" s="2">
        <v>66</v>
      </c>
      <c r="B67" s="2">
        <v>2066</v>
      </c>
      <c r="C67" s="2" t="s">
        <v>344</v>
      </c>
      <c r="D67" s="2" t="s">
        <v>432</v>
      </c>
      <c r="E67" s="2">
        <v>201.5</v>
      </c>
      <c r="F67" s="2">
        <v>4</v>
      </c>
      <c r="G67" s="2">
        <v>465</v>
      </c>
      <c r="H67" s="2" t="s">
        <v>341</v>
      </c>
      <c r="I67" s="2"/>
      <c r="J67" s="2" t="s">
        <v>34</v>
      </c>
      <c r="K67" s="2" t="s">
        <v>142</v>
      </c>
      <c r="L67" s="2" t="s">
        <v>143</v>
      </c>
      <c r="M67" s="5">
        <v>46159.590439814812</v>
      </c>
      <c r="N67" t="s">
        <v>573</v>
      </c>
      <c r="O67" s="6">
        <v>46159</v>
      </c>
      <c r="P67" t="s">
        <v>436</v>
      </c>
      <c r="Q67" t="s">
        <v>574</v>
      </c>
      <c r="R67" t="b">
        <v>1</v>
      </c>
      <c r="S67" t="s">
        <v>40</v>
      </c>
      <c r="T67">
        <v>24</v>
      </c>
      <c r="U67">
        <v>2000</v>
      </c>
      <c r="V67">
        <v>1.9995000000000001</v>
      </c>
      <c r="W67" t="s">
        <v>41</v>
      </c>
      <c r="X67" t="s">
        <v>42</v>
      </c>
      <c r="Y67" t="s">
        <v>43</v>
      </c>
    </row>
    <row r="68" spans="1:25" ht="15" customHeight="1">
      <c r="A68" s="2">
        <v>67</v>
      </c>
      <c r="B68" s="2">
        <v>2067</v>
      </c>
      <c r="C68" s="2" t="s">
        <v>344</v>
      </c>
      <c r="D68" s="2" t="s">
        <v>432</v>
      </c>
      <c r="E68" s="2">
        <v>203</v>
      </c>
      <c r="F68" s="2">
        <v>4</v>
      </c>
      <c r="G68" s="2">
        <v>470</v>
      </c>
      <c r="H68" s="2" t="s">
        <v>341</v>
      </c>
      <c r="I68" s="2"/>
      <c r="J68" s="2" t="s">
        <v>115</v>
      </c>
      <c r="K68" s="2" t="s">
        <v>142</v>
      </c>
      <c r="L68" s="2" t="s">
        <v>143</v>
      </c>
      <c r="M68" s="5">
        <v>46159.591597222221</v>
      </c>
      <c r="N68" t="s">
        <v>575</v>
      </c>
      <c r="O68" s="6">
        <v>46159</v>
      </c>
      <c r="P68" t="s">
        <v>436</v>
      </c>
      <c r="Q68" t="s">
        <v>576</v>
      </c>
      <c r="R68" t="b">
        <v>1</v>
      </c>
      <c r="S68" t="s">
        <v>40</v>
      </c>
      <c r="T68">
        <v>24</v>
      </c>
      <c r="U68">
        <v>2000</v>
      </c>
      <c r="V68">
        <v>1.9995000000000001</v>
      </c>
      <c r="W68" t="s">
        <v>41</v>
      </c>
      <c r="X68" t="s">
        <v>42</v>
      </c>
      <c r="Y68" t="s">
        <v>43</v>
      </c>
    </row>
    <row r="69" spans="1:25" ht="15" customHeight="1">
      <c r="A69" s="2">
        <v>68</v>
      </c>
      <c r="B69" s="2">
        <v>2068</v>
      </c>
      <c r="C69" s="2" t="s">
        <v>344</v>
      </c>
      <c r="D69" s="2" t="s">
        <v>432</v>
      </c>
      <c r="E69" s="2">
        <v>204.5</v>
      </c>
      <c r="F69" s="2">
        <v>4</v>
      </c>
      <c r="G69" s="2">
        <v>475</v>
      </c>
      <c r="H69" s="2" t="s">
        <v>341</v>
      </c>
      <c r="I69" s="2"/>
      <c r="J69" s="2" t="s">
        <v>225</v>
      </c>
      <c r="K69" s="2" t="s">
        <v>142</v>
      </c>
      <c r="L69" s="2" t="s">
        <v>143</v>
      </c>
      <c r="M69" s="5">
        <v>46159.593333333331</v>
      </c>
      <c r="N69" t="s">
        <v>577</v>
      </c>
      <c r="O69" s="6">
        <v>46159</v>
      </c>
      <c r="P69" t="s">
        <v>436</v>
      </c>
      <c r="Q69" t="s">
        <v>578</v>
      </c>
      <c r="R69" t="b">
        <v>1</v>
      </c>
      <c r="S69" t="s">
        <v>40</v>
      </c>
      <c r="T69">
        <v>24</v>
      </c>
      <c r="U69">
        <v>2000</v>
      </c>
      <c r="V69">
        <v>1.9995000000000001</v>
      </c>
      <c r="W69" t="s">
        <v>41</v>
      </c>
      <c r="X69" t="s">
        <v>42</v>
      </c>
      <c r="Y69" t="s">
        <v>43</v>
      </c>
    </row>
    <row r="70" spans="1:25" ht="15" customHeight="1">
      <c r="A70" s="2">
        <v>69</v>
      </c>
      <c r="B70" s="2">
        <v>2069</v>
      </c>
      <c r="C70" s="2" t="s">
        <v>344</v>
      </c>
      <c r="D70" s="2" t="s">
        <v>432</v>
      </c>
      <c r="E70" s="2">
        <v>206</v>
      </c>
      <c r="F70" s="2">
        <v>4</v>
      </c>
      <c r="G70" s="2">
        <v>480</v>
      </c>
      <c r="H70" s="2" t="s">
        <v>341</v>
      </c>
      <c r="I70" s="2"/>
      <c r="J70" s="2" t="s">
        <v>579</v>
      </c>
      <c r="K70" s="2" t="s">
        <v>142</v>
      </c>
      <c r="L70" s="2" t="s">
        <v>143</v>
      </c>
      <c r="M70" s="5">
        <v>46159.59447916667</v>
      </c>
      <c r="N70" t="s">
        <v>580</v>
      </c>
      <c r="O70" s="6">
        <v>46159</v>
      </c>
      <c r="P70" t="s">
        <v>436</v>
      </c>
      <c r="Q70" t="s">
        <v>581</v>
      </c>
      <c r="R70" t="b">
        <v>1</v>
      </c>
      <c r="S70" t="s">
        <v>40</v>
      </c>
      <c r="T70">
        <v>24</v>
      </c>
      <c r="U70">
        <v>2000</v>
      </c>
      <c r="V70">
        <v>1.9995000000000001</v>
      </c>
      <c r="W70" t="s">
        <v>41</v>
      </c>
      <c r="X70" t="s">
        <v>42</v>
      </c>
      <c r="Y70" t="s">
        <v>43</v>
      </c>
    </row>
    <row r="71" spans="1:25" ht="15" customHeight="1">
      <c r="A71" s="2">
        <v>70</v>
      </c>
      <c r="B71" s="2">
        <v>2070</v>
      </c>
      <c r="C71" s="2" t="s">
        <v>344</v>
      </c>
      <c r="D71" s="2" t="s">
        <v>432</v>
      </c>
      <c r="E71" s="2">
        <v>207.5</v>
      </c>
      <c r="F71" s="2">
        <v>4</v>
      </c>
      <c r="G71" s="2">
        <v>485</v>
      </c>
      <c r="H71" s="2" t="s">
        <v>341</v>
      </c>
      <c r="I71" s="2"/>
      <c r="J71" s="2" t="s">
        <v>582</v>
      </c>
      <c r="K71" s="2" t="s">
        <v>142</v>
      </c>
      <c r="L71" s="2" t="s">
        <v>143</v>
      </c>
      <c r="M71" s="5">
        <v>46159.59646990741</v>
      </c>
      <c r="N71" t="s">
        <v>583</v>
      </c>
      <c r="O71" s="6">
        <v>46159</v>
      </c>
      <c r="P71" t="s">
        <v>436</v>
      </c>
      <c r="Q71" t="s">
        <v>584</v>
      </c>
      <c r="R71" t="b">
        <v>1</v>
      </c>
      <c r="S71" t="s">
        <v>40</v>
      </c>
      <c r="T71">
        <v>24</v>
      </c>
      <c r="U71">
        <v>2000</v>
      </c>
      <c r="V71">
        <v>1.9995000000000001</v>
      </c>
      <c r="W71" t="s">
        <v>41</v>
      </c>
      <c r="X71" t="s">
        <v>42</v>
      </c>
      <c r="Y71" t="s">
        <v>43</v>
      </c>
    </row>
    <row r="72" spans="1:25" ht="15" customHeight="1">
      <c r="A72" s="2">
        <v>71</v>
      </c>
      <c r="B72" s="2">
        <v>2071</v>
      </c>
      <c r="C72" s="2" t="s">
        <v>344</v>
      </c>
      <c r="D72" s="2" t="s">
        <v>432</v>
      </c>
      <c r="E72" s="2">
        <v>209</v>
      </c>
      <c r="F72" s="2">
        <v>5</v>
      </c>
      <c r="G72" s="2">
        <v>490</v>
      </c>
      <c r="H72" s="2" t="s">
        <v>341</v>
      </c>
      <c r="I72" s="2"/>
      <c r="J72" s="2" t="s">
        <v>585</v>
      </c>
      <c r="K72" s="2" t="s">
        <v>142</v>
      </c>
      <c r="L72" s="2" t="s">
        <v>143</v>
      </c>
      <c r="M72" s="5">
        <v>46159.599699074082</v>
      </c>
      <c r="N72" t="s">
        <v>586</v>
      </c>
      <c r="O72" s="6">
        <v>46159</v>
      </c>
      <c r="P72" t="s">
        <v>436</v>
      </c>
      <c r="Q72" t="s">
        <v>587</v>
      </c>
      <c r="R72" t="b">
        <v>1</v>
      </c>
      <c r="S72" t="s">
        <v>40</v>
      </c>
      <c r="T72">
        <v>24</v>
      </c>
      <c r="U72">
        <v>2000</v>
      </c>
      <c r="V72">
        <v>1.9995000000000001</v>
      </c>
      <c r="W72" t="s">
        <v>41</v>
      </c>
      <c r="X72" t="s">
        <v>42</v>
      </c>
      <c r="Y72" t="s">
        <v>43</v>
      </c>
    </row>
    <row r="73" spans="1:25" ht="15" customHeight="1">
      <c r="A73" s="2">
        <v>72</v>
      </c>
      <c r="B73" s="2">
        <v>2072</v>
      </c>
      <c r="C73" s="2" t="s">
        <v>344</v>
      </c>
      <c r="D73" s="2" t="s">
        <v>432</v>
      </c>
      <c r="E73" s="2">
        <v>210.5</v>
      </c>
      <c r="F73" s="2">
        <v>4</v>
      </c>
      <c r="G73" s="2">
        <v>495</v>
      </c>
      <c r="H73" s="2" t="s">
        <v>341</v>
      </c>
      <c r="I73" s="2"/>
      <c r="J73" s="2" t="s">
        <v>588</v>
      </c>
      <c r="K73" s="2" t="s">
        <v>142</v>
      </c>
      <c r="L73" s="2" t="s">
        <v>143</v>
      </c>
      <c r="M73" s="5">
        <v>46159.600983796299</v>
      </c>
      <c r="N73" t="s">
        <v>589</v>
      </c>
      <c r="O73" s="6">
        <v>46159</v>
      </c>
      <c r="P73" t="s">
        <v>436</v>
      </c>
      <c r="Q73" t="s">
        <v>590</v>
      </c>
      <c r="R73" t="b">
        <v>1</v>
      </c>
      <c r="S73" t="s">
        <v>40</v>
      </c>
      <c r="T73">
        <v>24</v>
      </c>
      <c r="U73">
        <v>2000</v>
      </c>
      <c r="V73">
        <v>1.9995000000000001</v>
      </c>
      <c r="W73" t="s">
        <v>41</v>
      </c>
      <c r="X73" t="s">
        <v>42</v>
      </c>
      <c r="Y73" t="s">
        <v>43</v>
      </c>
    </row>
    <row r="74" spans="1:25" ht="15" customHeight="1">
      <c r="A74" s="2">
        <v>73</v>
      </c>
      <c r="B74" s="2">
        <v>2073</v>
      </c>
      <c r="C74" s="2" t="s">
        <v>344</v>
      </c>
      <c r="D74" s="2" t="s">
        <v>432</v>
      </c>
      <c r="E74" s="2">
        <v>212</v>
      </c>
      <c r="F74" s="2">
        <v>4</v>
      </c>
      <c r="G74" s="2">
        <v>500</v>
      </c>
      <c r="H74" s="2" t="s">
        <v>341</v>
      </c>
      <c r="I74" s="2"/>
      <c r="J74" s="2" t="s">
        <v>591</v>
      </c>
      <c r="K74" s="2" t="s">
        <v>142</v>
      </c>
      <c r="L74" s="2" t="s">
        <v>143</v>
      </c>
      <c r="M74" s="5">
        <v>46159.602349537039</v>
      </c>
      <c r="N74" t="s">
        <v>592</v>
      </c>
      <c r="O74" s="6">
        <v>46159</v>
      </c>
      <c r="P74" t="s">
        <v>436</v>
      </c>
      <c r="Q74" t="s">
        <v>593</v>
      </c>
      <c r="R74" t="b">
        <v>1</v>
      </c>
      <c r="S74" t="s">
        <v>40</v>
      </c>
      <c r="T74">
        <v>24</v>
      </c>
      <c r="U74">
        <v>2000</v>
      </c>
      <c r="V74">
        <v>1.9995000000000001</v>
      </c>
      <c r="W74" t="s">
        <v>41</v>
      </c>
      <c r="X74" t="s">
        <v>42</v>
      </c>
      <c r="Y74" t="s">
        <v>43</v>
      </c>
    </row>
    <row r="75" spans="1:25" ht="15" customHeight="1">
      <c r="A75" s="2">
        <v>74</v>
      </c>
      <c r="B75" s="2">
        <v>2074</v>
      </c>
      <c r="C75" s="2" t="s">
        <v>344</v>
      </c>
      <c r="D75" s="2" t="s">
        <v>432</v>
      </c>
      <c r="E75" s="2">
        <v>213.5</v>
      </c>
      <c r="F75" s="2">
        <v>4</v>
      </c>
      <c r="G75" s="2">
        <v>505</v>
      </c>
      <c r="H75" s="2" t="s">
        <v>341</v>
      </c>
      <c r="I75" s="2"/>
      <c r="J75" s="2" t="s">
        <v>594</v>
      </c>
      <c r="K75" s="2" t="s">
        <v>142</v>
      </c>
      <c r="L75" s="2" t="s">
        <v>143</v>
      </c>
      <c r="M75" s="5">
        <v>46159.603622685187</v>
      </c>
      <c r="N75" t="s">
        <v>595</v>
      </c>
      <c r="O75" s="6">
        <v>46159</v>
      </c>
      <c r="P75" t="s">
        <v>436</v>
      </c>
      <c r="Q75" t="s">
        <v>596</v>
      </c>
      <c r="R75" t="b">
        <v>1</v>
      </c>
      <c r="S75" t="s">
        <v>40</v>
      </c>
      <c r="T75">
        <v>24</v>
      </c>
      <c r="U75">
        <v>2000</v>
      </c>
      <c r="V75">
        <v>1.9995000000000001</v>
      </c>
      <c r="W75" t="s">
        <v>41</v>
      </c>
      <c r="X75" t="s">
        <v>42</v>
      </c>
      <c r="Y75" t="s">
        <v>43</v>
      </c>
    </row>
    <row r="76" spans="1:25" ht="15" customHeight="1">
      <c r="A76" s="2">
        <v>75</v>
      </c>
      <c r="B76" s="2">
        <v>2075</v>
      </c>
      <c r="C76" s="2" t="s">
        <v>344</v>
      </c>
      <c r="D76" s="2" t="s">
        <v>432</v>
      </c>
      <c r="E76" s="2">
        <v>215</v>
      </c>
      <c r="F76" s="2">
        <v>4</v>
      </c>
      <c r="G76" s="2">
        <v>510</v>
      </c>
      <c r="H76" s="2" t="s">
        <v>341</v>
      </c>
      <c r="I76" s="2"/>
      <c r="J76" s="2" t="s">
        <v>597</v>
      </c>
      <c r="K76" s="2" t="s">
        <v>142</v>
      </c>
      <c r="L76" s="2" t="s">
        <v>143</v>
      </c>
      <c r="M76" s="5">
        <v>46159.605347222219</v>
      </c>
      <c r="N76" t="s">
        <v>598</v>
      </c>
      <c r="O76" s="6">
        <v>46159</v>
      </c>
      <c r="P76" t="s">
        <v>436</v>
      </c>
      <c r="Q76" t="s">
        <v>599</v>
      </c>
      <c r="R76" t="b">
        <v>1</v>
      </c>
      <c r="S76" t="s">
        <v>40</v>
      </c>
      <c r="T76">
        <v>24</v>
      </c>
      <c r="U76">
        <v>2000</v>
      </c>
      <c r="V76">
        <v>1.9995000000000001</v>
      </c>
      <c r="W76" t="s">
        <v>41</v>
      </c>
      <c r="X76" t="s">
        <v>42</v>
      </c>
      <c r="Y76" t="s">
        <v>43</v>
      </c>
    </row>
    <row r="77" spans="1:25" ht="15" customHeight="1">
      <c r="A77" s="2">
        <v>76</v>
      </c>
      <c r="B77" s="2">
        <v>2076</v>
      </c>
      <c r="C77" s="2" t="s">
        <v>344</v>
      </c>
      <c r="D77" s="2" t="s">
        <v>432</v>
      </c>
      <c r="E77" s="2">
        <v>216.5</v>
      </c>
      <c r="F77" s="2">
        <v>4</v>
      </c>
      <c r="G77" s="2">
        <v>515</v>
      </c>
      <c r="H77" s="2" t="s">
        <v>341</v>
      </c>
      <c r="I77" s="2"/>
      <c r="J77" s="2" t="s">
        <v>600</v>
      </c>
      <c r="K77" s="2" t="s">
        <v>142</v>
      </c>
      <c r="L77" s="2" t="s">
        <v>143</v>
      </c>
      <c r="M77" s="5">
        <v>46159.606493055559</v>
      </c>
      <c r="N77" t="s">
        <v>601</v>
      </c>
      <c r="O77" s="6">
        <v>46159</v>
      </c>
      <c r="P77" t="s">
        <v>436</v>
      </c>
      <c r="Q77" t="s">
        <v>602</v>
      </c>
      <c r="R77" t="b">
        <v>1</v>
      </c>
      <c r="S77" t="s">
        <v>40</v>
      </c>
      <c r="T77">
        <v>24</v>
      </c>
      <c r="U77">
        <v>2000</v>
      </c>
      <c r="V77">
        <v>1.9995000000000001</v>
      </c>
      <c r="W77" t="s">
        <v>41</v>
      </c>
      <c r="X77" t="s">
        <v>42</v>
      </c>
      <c r="Y77" t="s">
        <v>43</v>
      </c>
    </row>
    <row r="78" spans="1:25" ht="15" customHeight="1">
      <c r="A78" s="2">
        <v>77</v>
      </c>
      <c r="B78" s="2">
        <v>2077</v>
      </c>
      <c r="C78" s="2" t="s">
        <v>344</v>
      </c>
      <c r="D78" s="2" t="s">
        <v>432</v>
      </c>
      <c r="E78" s="2">
        <v>218</v>
      </c>
      <c r="F78" s="2">
        <v>4</v>
      </c>
      <c r="G78" s="2">
        <v>520</v>
      </c>
      <c r="H78" s="2" t="s">
        <v>341</v>
      </c>
      <c r="I78" s="2"/>
      <c r="J78" s="2" t="s">
        <v>603</v>
      </c>
      <c r="K78" s="2" t="s">
        <v>142</v>
      </c>
      <c r="L78" s="2" t="s">
        <v>143</v>
      </c>
      <c r="M78" s="5">
        <v>46159.607499999998</v>
      </c>
      <c r="N78" t="s">
        <v>604</v>
      </c>
      <c r="O78" s="6">
        <v>46159</v>
      </c>
      <c r="P78" t="s">
        <v>436</v>
      </c>
      <c r="Q78" t="s">
        <v>605</v>
      </c>
      <c r="R78" t="b">
        <v>1</v>
      </c>
      <c r="S78" t="s">
        <v>40</v>
      </c>
      <c r="T78">
        <v>24</v>
      </c>
      <c r="U78">
        <v>2000</v>
      </c>
      <c r="V78">
        <v>1.9995000000000001</v>
      </c>
      <c r="W78" t="s">
        <v>41</v>
      </c>
      <c r="X78" t="s">
        <v>42</v>
      </c>
      <c r="Y78" t="s">
        <v>43</v>
      </c>
    </row>
    <row r="79" spans="1:25" ht="15" customHeight="1">
      <c r="A79" s="2">
        <v>78</v>
      </c>
      <c r="B79" s="2">
        <v>2078</v>
      </c>
      <c r="C79" s="2" t="s">
        <v>344</v>
      </c>
      <c r="D79" s="2" t="s">
        <v>432</v>
      </c>
      <c r="E79" s="2">
        <v>219.5</v>
      </c>
      <c r="F79" s="2">
        <v>4</v>
      </c>
      <c r="G79" s="2">
        <v>525</v>
      </c>
      <c r="H79" s="2" t="s">
        <v>341</v>
      </c>
      <c r="I79" s="2"/>
      <c r="J79" s="2" t="s">
        <v>606</v>
      </c>
      <c r="K79" s="2" t="s">
        <v>142</v>
      </c>
      <c r="L79" s="2" t="s">
        <v>143</v>
      </c>
      <c r="M79" s="5">
        <v>46159.608599537038</v>
      </c>
      <c r="N79" t="s">
        <v>607</v>
      </c>
      <c r="O79" s="6">
        <v>46159</v>
      </c>
      <c r="P79" t="s">
        <v>436</v>
      </c>
      <c r="Q79" t="s">
        <v>608</v>
      </c>
      <c r="R79" t="b">
        <v>1</v>
      </c>
      <c r="S79" t="s">
        <v>40</v>
      </c>
      <c r="T79">
        <v>24</v>
      </c>
      <c r="U79">
        <v>2000</v>
      </c>
      <c r="V79">
        <v>1.9995000000000001</v>
      </c>
      <c r="W79" t="s">
        <v>41</v>
      </c>
      <c r="X79" t="s">
        <v>42</v>
      </c>
      <c r="Y79" t="s">
        <v>43</v>
      </c>
    </row>
    <row r="80" spans="1:25" ht="15" customHeight="1">
      <c r="A80" s="2">
        <v>79</v>
      </c>
      <c r="B80" s="2">
        <v>2079</v>
      </c>
      <c r="C80" s="2" t="s">
        <v>344</v>
      </c>
      <c r="D80" s="2" t="s">
        <v>432</v>
      </c>
      <c r="E80" s="2">
        <v>221</v>
      </c>
      <c r="F80" s="2">
        <v>4</v>
      </c>
      <c r="G80" s="2">
        <v>530</v>
      </c>
      <c r="H80" s="2" t="s">
        <v>341</v>
      </c>
      <c r="I80" s="2"/>
      <c r="J80" s="2" t="s">
        <v>609</v>
      </c>
      <c r="K80" s="2" t="s">
        <v>142</v>
      </c>
      <c r="L80" s="2" t="s">
        <v>143</v>
      </c>
      <c r="M80" s="5">
        <v>46159.609583333331</v>
      </c>
      <c r="N80" t="s">
        <v>610</v>
      </c>
      <c r="O80" s="6">
        <v>46159</v>
      </c>
      <c r="P80" t="s">
        <v>436</v>
      </c>
      <c r="Q80" t="s">
        <v>611</v>
      </c>
      <c r="R80" t="b">
        <v>1</v>
      </c>
      <c r="S80" t="s">
        <v>40</v>
      </c>
      <c r="T80">
        <v>24</v>
      </c>
      <c r="U80">
        <v>2000</v>
      </c>
      <c r="V80">
        <v>1.9995000000000001</v>
      </c>
      <c r="W80" t="s">
        <v>41</v>
      </c>
      <c r="X80" t="s">
        <v>42</v>
      </c>
      <c r="Y80" t="s">
        <v>43</v>
      </c>
    </row>
    <row r="81" spans="1:25" ht="15" customHeight="1">
      <c r="A81" s="2">
        <v>80</v>
      </c>
      <c r="B81" s="2">
        <v>2080</v>
      </c>
      <c r="C81" s="2" t="s">
        <v>344</v>
      </c>
      <c r="D81" s="2" t="s">
        <v>432</v>
      </c>
      <c r="E81" s="2">
        <v>222.5</v>
      </c>
      <c r="F81" s="2">
        <v>4</v>
      </c>
      <c r="G81" s="2">
        <v>535</v>
      </c>
      <c r="H81" s="2" t="s">
        <v>341</v>
      </c>
      <c r="I81" s="2"/>
      <c r="J81" s="2" t="s">
        <v>612</v>
      </c>
      <c r="K81" s="2" t="s">
        <v>142</v>
      </c>
      <c r="L81" s="2" t="s">
        <v>143</v>
      </c>
      <c r="M81" s="5">
        <v>46159.610763888893</v>
      </c>
      <c r="N81" t="s">
        <v>613</v>
      </c>
      <c r="O81" s="6">
        <v>46159</v>
      </c>
      <c r="P81" t="s">
        <v>436</v>
      </c>
      <c r="Q81" t="s">
        <v>614</v>
      </c>
      <c r="R81" t="b">
        <v>1</v>
      </c>
      <c r="S81" t="s">
        <v>40</v>
      </c>
      <c r="T81">
        <v>24</v>
      </c>
      <c r="U81">
        <v>2000</v>
      </c>
      <c r="V81">
        <v>1.9995000000000001</v>
      </c>
      <c r="W81" t="s">
        <v>41</v>
      </c>
      <c r="X81" t="s">
        <v>42</v>
      </c>
      <c r="Y81" t="s">
        <v>43</v>
      </c>
    </row>
    <row r="82" spans="1:25" ht="15" customHeight="1">
      <c r="A82" s="2">
        <v>81</v>
      </c>
      <c r="B82" s="2">
        <v>2081</v>
      </c>
      <c r="C82" s="2" t="s">
        <v>344</v>
      </c>
      <c r="D82" s="2" t="s">
        <v>432</v>
      </c>
      <c r="E82" s="2">
        <v>224</v>
      </c>
      <c r="F82" s="2">
        <v>4</v>
      </c>
      <c r="G82" s="2">
        <v>540</v>
      </c>
      <c r="H82" s="2" t="s">
        <v>341</v>
      </c>
      <c r="I82" s="2"/>
      <c r="J82" s="2" t="s">
        <v>615</v>
      </c>
      <c r="K82" s="2" t="s">
        <v>142</v>
      </c>
      <c r="L82" s="2" t="s">
        <v>143</v>
      </c>
      <c r="M82" s="5">
        <v>46159.612268518518</v>
      </c>
      <c r="N82" t="s">
        <v>616</v>
      </c>
      <c r="O82" s="6">
        <v>46159</v>
      </c>
      <c r="P82" t="s">
        <v>436</v>
      </c>
      <c r="Q82" t="s">
        <v>617</v>
      </c>
      <c r="R82" t="b">
        <v>1</v>
      </c>
      <c r="S82" t="s">
        <v>40</v>
      </c>
      <c r="T82">
        <v>24</v>
      </c>
      <c r="U82">
        <v>2000</v>
      </c>
      <c r="V82">
        <v>1.9995000000000001</v>
      </c>
      <c r="W82" t="s">
        <v>41</v>
      </c>
      <c r="X82" t="s">
        <v>42</v>
      </c>
      <c r="Y82" t="s">
        <v>43</v>
      </c>
    </row>
    <row r="83" spans="1:25" ht="15" customHeight="1">
      <c r="A83" s="2">
        <v>82</v>
      </c>
      <c r="B83" s="2">
        <v>2082</v>
      </c>
      <c r="C83" s="2" t="s">
        <v>344</v>
      </c>
      <c r="D83" s="2" t="s">
        <v>432</v>
      </c>
      <c r="E83" s="2">
        <v>225.5</v>
      </c>
      <c r="F83" s="2">
        <v>4</v>
      </c>
      <c r="G83" s="2">
        <v>545</v>
      </c>
      <c r="H83" s="2" t="s">
        <v>341</v>
      </c>
      <c r="I83" s="2"/>
      <c r="J83" s="2" t="s">
        <v>618</v>
      </c>
      <c r="K83" s="2" t="s">
        <v>142</v>
      </c>
      <c r="L83" s="2" t="s">
        <v>143</v>
      </c>
      <c r="M83" s="5">
        <v>46159.615648148138</v>
      </c>
      <c r="N83" t="s">
        <v>619</v>
      </c>
      <c r="O83" s="6">
        <v>46159</v>
      </c>
      <c r="P83" t="s">
        <v>436</v>
      </c>
      <c r="Q83" t="s">
        <v>620</v>
      </c>
      <c r="R83" t="b">
        <v>1</v>
      </c>
      <c r="S83" t="s">
        <v>40</v>
      </c>
      <c r="T83">
        <v>24</v>
      </c>
      <c r="U83">
        <v>2000</v>
      </c>
      <c r="V83">
        <v>1.9995000000000001</v>
      </c>
      <c r="W83" t="s">
        <v>41</v>
      </c>
      <c r="X83" t="s">
        <v>42</v>
      </c>
      <c r="Y83" t="s">
        <v>43</v>
      </c>
    </row>
    <row r="84" spans="1:25" ht="15" customHeight="1">
      <c r="A84" s="2">
        <v>83</v>
      </c>
      <c r="B84" s="2">
        <v>2083</v>
      </c>
      <c r="C84" s="2" t="s">
        <v>344</v>
      </c>
      <c r="D84" s="2" t="s">
        <v>432</v>
      </c>
      <c r="E84" s="2">
        <v>227</v>
      </c>
      <c r="F84" s="2">
        <v>4</v>
      </c>
      <c r="G84" s="2">
        <v>550</v>
      </c>
      <c r="H84" s="2" t="s">
        <v>341</v>
      </c>
      <c r="I84" s="2"/>
      <c r="J84" s="2" t="s">
        <v>621</v>
      </c>
      <c r="K84" s="2" t="s">
        <v>142</v>
      </c>
      <c r="L84" s="2" t="s">
        <v>143</v>
      </c>
      <c r="M84" s="5">
        <v>46159.6172337963</v>
      </c>
      <c r="N84" t="s">
        <v>622</v>
      </c>
      <c r="O84" s="6">
        <v>46159</v>
      </c>
      <c r="P84" t="s">
        <v>436</v>
      </c>
      <c r="Q84" t="s">
        <v>623</v>
      </c>
      <c r="R84" t="b">
        <v>1</v>
      </c>
      <c r="S84" t="s">
        <v>40</v>
      </c>
      <c r="T84">
        <v>24</v>
      </c>
      <c r="U84">
        <v>2000</v>
      </c>
      <c r="V84">
        <v>1.9995000000000001</v>
      </c>
      <c r="W84" t="s">
        <v>41</v>
      </c>
      <c r="X84" t="s">
        <v>42</v>
      </c>
      <c r="Y84" t="s">
        <v>43</v>
      </c>
    </row>
    <row r="85" spans="1:25" ht="15" customHeight="1">
      <c r="A85" s="2">
        <v>84</v>
      </c>
      <c r="B85" s="2">
        <v>2084</v>
      </c>
      <c r="C85" s="2" t="s">
        <v>344</v>
      </c>
      <c r="D85" s="2" t="s">
        <v>432</v>
      </c>
      <c r="E85" s="2">
        <v>228.5</v>
      </c>
      <c r="F85" s="2">
        <v>4</v>
      </c>
      <c r="G85" s="2">
        <v>555</v>
      </c>
      <c r="H85" s="2" t="s">
        <v>341</v>
      </c>
      <c r="I85" s="2"/>
      <c r="J85" s="2" t="s">
        <v>624</v>
      </c>
      <c r="K85" s="2" t="s">
        <v>142</v>
      </c>
      <c r="L85" s="2" t="s">
        <v>143</v>
      </c>
      <c r="M85" s="5">
        <v>46159.618460648147</v>
      </c>
      <c r="N85" t="s">
        <v>625</v>
      </c>
      <c r="O85" s="6">
        <v>46159</v>
      </c>
      <c r="P85" t="s">
        <v>436</v>
      </c>
      <c r="Q85" t="s">
        <v>626</v>
      </c>
      <c r="R85" t="b">
        <v>1</v>
      </c>
      <c r="S85" t="s">
        <v>40</v>
      </c>
      <c r="T85">
        <v>24</v>
      </c>
      <c r="U85">
        <v>2000</v>
      </c>
      <c r="V85">
        <v>1.9995000000000001</v>
      </c>
      <c r="W85" t="s">
        <v>41</v>
      </c>
      <c r="X85" t="s">
        <v>42</v>
      </c>
      <c r="Y85" t="s">
        <v>43</v>
      </c>
    </row>
    <row r="86" spans="1:25" ht="15" customHeight="1">
      <c r="A86" s="2">
        <v>85</v>
      </c>
      <c r="B86" s="2">
        <v>2085</v>
      </c>
      <c r="C86" s="2" t="s">
        <v>344</v>
      </c>
      <c r="D86" s="2" t="s">
        <v>432</v>
      </c>
      <c r="E86" s="2">
        <v>230</v>
      </c>
      <c r="F86" s="2">
        <v>4</v>
      </c>
      <c r="G86" s="2">
        <v>560</v>
      </c>
      <c r="H86" s="2" t="s">
        <v>341</v>
      </c>
      <c r="I86" s="2"/>
      <c r="J86" s="2" t="s">
        <v>627</v>
      </c>
      <c r="K86" s="2" t="s">
        <v>142</v>
      </c>
      <c r="L86" s="2" t="s">
        <v>143</v>
      </c>
      <c r="M86" s="5">
        <v>46159.620798611111</v>
      </c>
      <c r="N86" t="s">
        <v>628</v>
      </c>
      <c r="O86" s="6">
        <v>46159</v>
      </c>
      <c r="P86" t="s">
        <v>436</v>
      </c>
      <c r="Q86" t="s">
        <v>629</v>
      </c>
      <c r="R86" t="b">
        <v>1</v>
      </c>
      <c r="S86" t="s">
        <v>40</v>
      </c>
      <c r="T86">
        <v>24</v>
      </c>
      <c r="U86">
        <v>2000</v>
      </c>
      <c r="V86">
        <v>1.9995000000000001</v>
      </c>
      <c r="W86" t="s">
        <v>41</v>
      </c>
      <c r="X86" t="s">
        <v>42</v>
      </c>
      <c r="Y86" t="s">
        <v>43</v>
      </c>
    </row>
    <row r="87" spans="1:25" ht="15" customHeight="1">
      <c r="A87" s="2">
        <v>86</v>
      </c>
      <c r="B87" s="2">
        <v>2086</v>
      </c>
      <c r="C87" s="2" t="s">
        <v>344</v>
      </c>
      <c r="D87" s="2" t="s">
        <v>432</v>
      </c>
      <c r="E87" s="2">
        <v>230</v>
      </c>
      <c r="F87" s="2">
        <v>4</v>
      </c>
      <c r="G87" s="2">
        <v>560</v>
      </c>
      <c r="H87" s="2" t="s">
        <v>630</v>
      </c>
      <c r="I87" s="2" t="s">
        <v>631</v>
      </c>
      <c r="J87" s="2" t="s">
        <v>561</v>
      </c>
      <c r="K87" s="2" t="s">
        <v>142</v>
      </c>
      <c r="L87" s="2" t="s">
        <v>143</v>
      </c>
      <c r="M87" s="5">
        <v>46159.627453703702</v>
      </c>
      <c r="N87" t="s">
        <v>632</v>
      </c>
      <c r="O87" s="6">
        <v>46159</v>
      </c>
      <c r="P87" t="s">
        <v>436</v>
      </c>
      <c r="Q87" t="s">
        <v>633</v>
      </c>
      <c r="R87" t="b">
        <v>1</v>
      </c>
      <c r="S87" t="s">
        <v>40</v>
      </c>
      <c r="T87">
        <v>24</v>
      </c>
      <c r="U87">
        <v>2000</v>
      </c>
      <c r="V87">
        <v>1.9995000000000001</v>
      </c>
      <c r="W87" t="s">
        <v>41</v>
      </c>
      <c r="X87" t="s">
        <v>42</v>
      </c>
      <c r="Y87" t="s">
        <v>43</v>
      </c>
    </row>
    <row r="88" spans="1:25" ht="15" customHeight="1">
      <c r="A88" s="2">
        <v>87</v>
      </c>
      <c r="B88" s="2">
        <v>2087</v>
      </c>
      <c r="C88" s="2" t="s">
        <v>344</v>
      </c>
      <c r="D88" s="2" t="s">
        <v>432</v>
      </c>
      <c r="E88" s="2">
        <v>230</v>
      </c>
      <c r="F88" s="2">
        <v>4</v>
      </c>
      <c r="G88" s="2">
        <v>560</v>
      </c>
      <c r="H88" s="2" t="s">
        <v>634</v>
      </c>
      <c r="I88" s="2" t="s">
        <v>631</v>
      </c>
      <c r="J88" s="2" t="s">
        <v>561</v>
      </c>
      <c r="K88" s="2" t="s">
        <v>142</v>
      </c>
      <c r="L88" s="2" t="s">
        <v>143</v>
      </c>
      <c r="M88" s="5">
        <v>46159.629016203697</v>
      </c>
      <c r="N88" t="s">
        <v>635</v>
      </c>
      <c r="O88" s="6">
        <v>46159</v>
      </c>
      <c r="P88" t="s">
        <v>436</v>
      </c>
      <c r="Q88" t="s">
        <v>636</v>
      </c>
      <c r="R88" t="b">
        <v>1</v>
      </c>
      <c r="S88" t="s">
        <v>40</v>
      </c>
      <c r="T88">
        <v>24</v>
      </c>
      <c r="U88">
        <v>2000</v>
      </c>
      <c r="V88">
        <v>1.9995000000000001</v>
      </c>
      <c r="W88" t="s">
        <v>41</v>
      </c>
      <c r="X88" t="s">
        <v>42</v>
      </c>
      <c r="Y88" t="s">
        <v>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0"/>
  <sheetViews>
    <sheetView workbookViewId="0">
      <selection activeCell="P47" sqref="P47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2">
        <v>1</v>
      </c>
      <c r="B2" s="2">
        <f t="shared" ref="B2:B40" si="0">4001+A2-1</f>
        <v>4001</v>
      </c>
      <c r="C2" s="2" t="s">
        <v>168</v>
      </c>
      <c r="D2" s="2" t="s">
        <v>637</v>
      </c>
      <c r="E2" s="2">
        <f t="shared" ref="E2:E40" si="1">-0.5+2*(A2-1)</f>
        <v>-0.5</v>
      </c>
      <c r="F2" s="2">
        <v>0</v>
      </c>
      <c r="G2" s="2">
        <v>71</v>
      </c>
      <c r="H2" s="2">
        <v>1</v>
      </c>
      <c r="I2" s="2">
        <v>2</v>
      </c>
      <c r="J2" s="2">
        <v>7</v>
      </c>
      <c r="K2" s="2" t="s">
        <v>68</v>
      </c>
      <c r="L2" s="2" t="s">
        <v>32</v>
      </c>
      <c r="M2" s="2"/>
      <c r="N2" s="2" t="s">
        <v>579</v>
      </c>
      <c r="O2" s="2" t="s">
        <v>35</v>
      </c>
      <c r="P2" s="2" t="s">
        <v>36</v>
      </c>
    </row>
    <row r="3" spans="1:29" ht="15" customHeight="1">
      <c r="A3" s="2">
        <v>2</v>
      </c>
      <c r="B3" s="2">
        <f t="shared" si="0"/>
        <v>4002</v>
      </c>
      <c r="C3" s="2" t="s">
        <v>168</v>
      </c>
      <c r="D3" s="2" t="s">
        <v>637</v>
      </c>
      <c r="E3" s="2">
        <f t="shared" si="1"/>
        <v>1.5</v>
      </c>
      <c r="F3" s="2">
        <v>0</v>
      </c>
      <c r="G3" s="2">
        <v>71</v>
      </c>
      <c r="H3" s="2">
        <v>1</v>
      </c>
      <c r="I3" s="2">
        <v>2</v>
      </c>
      <c r="J3" s="2">
        <v>8</v>
      </c>
      <c r="K3" s="2" t="s">
        <v>47</v>
      </c>
      <c r="L3" s="2" t="s">
        <v>32</v>
      </c>
      <c r="M3" s="2"/>
      <c r="N3" s="2" t="s">
        <v>579</v>
      </c>
      <c r="O3" s="2" t="s">
        <v>35</v>
      </c>
      <c r="P3" s="2" t="s">
        <v>36</v>
      </c>
    </row>
    <row r="4" spans="1:29" ht="15" customHeight="1">
      <c r="A4" s="2">
        <v>3</v>
      </c>
      <c r="B4" s="2">
        <f t="shared" si="0"/>
        <v>4003</v>
      </c>
      <c r="C4" s="2" t="s">
        <v>168</v>
      </c>
      <c r="D4" s="2" t="s">
        <v>637</v>
      </c>
      <c r="E4" s="2">
        <f t="shared" si="1"/>
        <v>3.5</v>
      </c>
      <c r="F4" s="2">
        <v>0</v>
      </c>
      <c r="G4" s="2">
        <v>71</v>
      </c>
      <c r="H4" s="2">
        <v>1</v>
      </c>
      <c r="I4" s="2">
        <v>2</v>
      </c>
      <c r="J4" s="2">
        <v>7</v>
      </c>
      <c r="K4" s="2" t="s">
        <v>68</v>
      </c>
      <c r="L4" s="2" t="s">
        <v>32</v>
      </c>
      <c r="M4" s="2"/>
      <c r="N4" s="2" t="s">
        <v>579</v>
      </c>
      <c r="O4" s="2" t="s">
        <v>35</v>
      </c>
      <c r="P4" s="2" t="s">
        <v>36</v>
      </c>
    </row>
    <row r="5" spans="1:29" ht="15" customHeight="1">
      <c r="A5" s="2">
        <v>4</v>
      </c>
      <c r="B5" s="2">
        <f t="shared" si="0"/>
        <v>4004</v>
      </c>
      <c r="C5" s="2" t="s">
        <v>168</v>
      </c>
      <c r="D5" s="2" t="s">
        <v>637</v>
      </c>
      <c r="E5" s="2">
        <f t="shared" si="1"/>
        <v>5.5</v>
      </c>
      <c r="F5" s="2">
        <v>0</v>
      </c>
      <c r="G5" s="2">
        <v>71</v>
      </c>
      <c r="H5" s="2">
        <v>1</v>
      </c>
      <c r="I5" s="2">
        <v>2</v>
      </c>
      <c r="J5" s="2">
        <v>7</v>
      </c>
      <c r="K5" s="2" t="s">
        <v>50</v>
      </c>
      <c r="L5" s="2" t="s">
        <v>32</v>
      </c>
      <c r="M5" s="2"/>
      <c r="N5" s="2" t="s">
        <v>579</v>
      </c>
      <c r="O5" s="2" t="s">
        <v>35</v>
      </c>
      <c r="P5" s="2" t="s">
        <v>36</v>
      </c>
    </row>
    <row r="6" spans="1:29" ht="15" customHeight="1">
      <c r="A6" s="2">
        <v>5</v>
      </c>
      <c r="B6" s="2">
        <f t="shared" si="0"/>
        <v>4005</v>
      </c>
      <c r="C6" s="2" t="s">
        <v>168</v>
      </c>
      <c r="D6" s="2" t="s">
        <v>637</v>
      </c>
      <c r="E6" s="2">
        <f t="shared" si="1"/>
        <v>7.5</v>
      </c>
      <c r="F6" s="2">
        <v>0</v>
      </c>
      <c r="G6" s="2">
        <v>71</v>
      </c>
      <c r="H6" s="2">
        <v>1</v>
      </c>
      <c r="I6" s="2">
        <v>2</v>
      </c>
      <c r="J6" s="2">
        <v>7</v>
      </c>
      <c r="K6" s="2" t="s">
        <v>31</v>
      </c>
      <c r="L6" s="2" t="s">
        <v>32</v>
      </c>
      <c r="M6" s="2"/>
      <c r="N6" s="2" t="s">
        <v>579</v>
      </c>
      <c r="O6" s="2" t="s">
        <v>35</v>
      </c>
      <c r="P6" s="2" t="s">
        <v>36</v>
      </c>
    </row>
    <row r="7" spans="1:29" ht="15" customHeight="1">
      <c r="A7" s="2">
        <v>6</v>
      </c>
      <c r="B7" s="2">
        <f t="shared" si="0"/>
        <v>4006</v>
      </c>
      <c r="C7" s="2" t="s">
        <v>168</v>
      </c>
      <c r="D7" s="2" t="s">
        <v>637</v>
      </c>
      <c r="E7" s="2">
        <f t="shared" si="1"/>
        <v>9.5</v>
      </c>
      <c r="F7" s="2">
        <v>0</v>
      </c>
      <c r="G7" s="2">
        <v>71</v>
      </c>
      <c r="H7" s="2">
        <v>1</v>
      </c>
      <c r="I7" s="2">
        <v>2</v>
      </c>
      <c r="J7" s="2">
        <v>7</v>
      </c>
      <c r="K7" s="2" t="s">
        <v>638</v>
      </c>
      <c r="L7" s="2" t="s">
        <v>32</v>
      </c>
      <c r="M7" s="2"/>
      <c r="N7" s="2" t="s">
        <v>579</v>
      </c>
      <c r="O7" s="2" t="s">
        <v>35</v>
      </c>
      <c r="P7" s="2" t="s">
        <v>36</v>
      </c>
    </row>
    <row r="8" spans="1:29" ht="15" customHeight="1">
      <c r="A8" s="2">
        <v>7</v>
      </c>
      <c r="B8" s="2">
        <f t="shared" si="0"/>
        <v>4007</v>
      </c>
      <c r="C8" s="2" t="s">
        <v>168</v>
      </c>
      <c r="D8" s="2" t="s">
        <v>637</v>
      </c>
      <c r="E8" s="2">
        <f t="shared" si="1"/>
        <v>11.5</v>
      </c>
      <c r="F8" s="2">
        <v>0</v>
      </c>
      <c r="G8" s="2">
        <v>71</v>
      </c>
      <c r="H8" s="2">
        <v>1</v>
      </c>
      <c r="I8" s="2">
        <v>2</v>
      </c>
      <c r="J8" s="2">
        <v>7</v>
      </c>
      <c r="K8" s="2" t="s">
        <v>68</v>
      </c>
      <c r="L8" s="2" t="s">
        <v>32</v>
      </c>
      <c r="M8" s="2"/>
      <c r="N8" s="2" t="s">
        <v>579</v>
      </c>
      <c r="O8" s="2" t="s">
        <v>35</v>
      </c>
      <c r="P8" s="2" t="s">
        <v>36</v>
      </c>
    </row>
    <row r="9" spans="1:29" ht="15" customHeight="1">
      <c r="A9" s="2">
        <v>8</v>
      </c>
      <c r="B9" s="2">
        <f t="shared" si="0"/>
        <v>4008</v>
      </c>
      <c r="C9" s="2" t="s">
        <v>168</v>
      </c>
      <c r="D9" s="2" t="s">
        <v>637</v>
      </c>
      <c r="E9" s="2">
        <f t="shared" si="1"/>
        <v>13.5</v>
      </c>
      <c r="F9" s="2">
        <v>0</v>
      </c>
      <c r="G9" s="2">
        <v>71</v>
      </c>
      <c r="H9" s="2">
        <v>1</v>
      </c>
      <c r="I9" s="2">
        <v>2</v>
      </c>
      <c r="J9" s="2">
        <v>7</v>
      </c>
      <c r="K9" s="2" t="s">
        <v>50</v>
      </c>
      <c r="L9" s="2" t="s">
        <v>32</v>
      </c>
      <c r="M9" s="2"/>
      <c r="N9" s="2" t="s">
        <v>579</v>
      </c>
      <c r="O9" s="2" t="s">
        <v>35</v>
      </c>
      <c r="P9" s="2" t="s">
        <v>36</v>
      </c>
    </row>
    <row r="10" spans="1:29" ht="15" customHeight="1">
      <c r="A10" s="2">
        <v>9</v>
      </c>
      <c r="B10" s="2">
        <f t="shared" si="0"/>
        <v>4009</v>
      </c>
      <c r="C10" s="2" t="s">
        <v>168</v>
      </c>
      <c r="D10" s="2" t="s">
        <v>637</v>
      </c>
      <c r="E10" s="2">
        <f t="shared" si="1"/>
        <v>15.5</v>
      </c>
      <c r="F10" s="2">
        <v>0</v>
      </c>
      <c r="G10" s="2">
        <v>71</v>
      </c>
      <c r="H10" s="2">
        <v>1</v>
      </c>
      <c r="I10" s="2">
        <v>2</v>
      </c>
      <c r="J10" s="2">
        <v>7</v>
      </c>
      <c r="K10" s="2" t="s">
        <v>639</v>
      </c>
      <c r="L10" s="2" t="s">
        <v>32</v>
      </c>
      <c r="M10" s="2"/>
      <c r="N10" s="2" t="s">
        <v>579</v>
      </c>
      <c r="O10" s="2" t="s">
        <v>35</v>
      </c>
      <c r="P10" s="2" t="s">
        <v>36</v>
      </c>
    </row>
    <row r="11" spans="1:29" ht="15" customHeight="1">
      <c r="A11" s="2">
        <v>10</v>
      </c>
      <c r="B11" s="2">
        <f t="shared" si="0"/>
        <v>4010</v>
      </c>
      <c r="C11" s="2" t="s">
        <v>168</v>
      </c>
      <c r="D11" s="2" t="s">
        <v>637</v>
      </c>
      <c r="E11" s="2">
        <f t="shared" si="1"/>
        <v>17.5</v>
      </c>
      <c r="F11" s="2">
        <v>0</v>
      </c>
      <c r="G11" s="2">
        <v>71</v>
      </c>
      <c r="H11" s="2">
        <v>1</v>
      </c>
      <c r="I11" s="2">
        <v>2</v>
      </c>
      <c r="J11" s="2">
        <v>7</v>
      </c>
      <c r="K11" s="2" t="s">
        <v>31</v>
      </c>
      <c r="L11" s="2" t="s">
        <v>32</v>
      </c>
      <c r="M11" s="2"/>
      <c r="N11" s="2" t="s">
        <v>579</v>
      </c>
      <c r="O11" s="2" t="s">
        <v>35</v>
      </c>
      <c r="P11" s="2" t="s">
        <v>36</v>
      </c>
    </row>
    <row r="12" spans="1:29" ht="15" customHeight="1">
      <c r="A12" s="2">
        <v>11</v>
      </c>
      <c r="B12" s="2">
        <f t="shared" si="0"/>
        <v>4011</v>
      </c>
      <c r="C12" s="2" t="s">
        <v>168</v>
      </c>
      <c r="D12" s="2" t="s">
        <v>637</v>
      </c>
      <c r="E12" s="2">
        <f t="shared" si="1"/>
        <v>19.5</v>
      </c>
      <c r="F12" s="2">
        <v>0</v>
      </c>
      <c r="G12" s="2">
        <v>71</v>
      </c>
      <c r="H12" s="2">
        <v>1</v>
      </c>
      <c r="I12" s="2">
        <v>2</v>
      </c>
      <c r="J12" s="2">
        <v>7</v>
      </c>
      <c r="K12" s="2" t="s">
        <v>56</v>
      </c>
      <c r="L12" s="2" t="s">
        <v>32</v>
      </c>
      <c r="M12" s="2"/>
      <c r="N12" s="2" t="s">
        <v>579</v>
      </c>
      <c r="O12" s="2" t="s">
        <v>35</v>
      </c>
      <c r="P12" s="2" t="s">
        <v>36</v>
      </c>
    </row>
    <row r="13" spans="1:29" ht="15" customHeight="1">
      <c r="A13" s="2">
        <v>12</v>
      </c>
      <c r="B13" s="2">
        <f t="shared" si="0"/>
        <v>4012</v>
      </c>
      <c r="C13" s="2" t="s">
        <v>168</v>
      </c>
      <c r="D13" s="2" t="s">
        <v>637</v>
      </c>
      <c r="E13" s="2">
        <f t="shared" si="1"/>
        <v>21.5</v>
      </c>
      <c r="F13" s="2">
        <v>0</v>
      </c>
      <c r="G13" s="2">
        <v>71</v>
      </c>
      <c r="H13" s="2">
        <v>1</v>
      </c>
      <c r="I13" s="2">
        <v>2</v>
      </c>
      <c r="J13" s="2">
        <v>7</v>
      </c>
      <c r="K13" s="2" t="s">
        <v>638</v>
      </c>
      <c r="L13" s="2" t="s">
        <v>32</v>
      </c>
      <c r="M13" s="2"/>
      <c r="N13" s="2" t="s">
        <v>579</v>
      </c>
      <c r="O13" s="2" t="s">
        <v>35</v>
      </c>
      <c r="P13" s="2" t="s">
        <v>36</v>
      </c>
    </row>
    <row r="14" spans="1:29" ht="15" customHeight="1">
      <c r="A14" s="2">
        <v>13</v>
      </c>
      <c r="B14" s="2">
        <f t="shared" si="0"/>
        <v>4013</v>
      </c>
      <c r="C14" s="2" t="s">
        <v>168</v>
      </c>
      <c r="D14" s="2" t="s">
        <v>637</v>
      </c>
      <c r="E14" s="2">
        <f t="shared" si="1"/>
        <v>23.5</v>
      </c>
      <c r="F14" s="2">
        <v>0</v>
      </c>
      <c r="G14" s="2">
        <v>71</v>
      </c>
      <c r="H14" s="2">
        <v>1</v>
      </c>
      <c r="I14" s="2">
        <v>2</v>
      </c>
      <c r="J14" s="2">
        <v>7</v>
      </c>
      <c r="K14" s="2" t="s">
        <v>68</v>
      </c>
      <c r="L14" s="2" t="s">
        <v>32</v>
      </c>
      <c r="M14" s="2"/>
      <c r="N14" s="2" t="s">
        <v>579</v>
      </c>
      <c r="O14" s="2" t="s">
        <v>35</v>
      </c>
      <c r="P14" s="2" t="s">
        <v>36</v>
      </c>
    </row>
    <row r="15" spans="1:29" ht="15" customHeight="1">
      <c r="A15" s="2">
        <v>14</v>
      </c>
      <c r="B15" s="2">
        <f t="shared" si="0"/>
        <v>4014</v>
      </c>
      <c r="C15" s="2" t="s">
        <v>168</v>
      </c>
      <c r="D15" s="2" t="s">
        <v>637</v>
      </c>
      <c r="E15" s="2">
        <f t="shared" si="1"/>
        <v>25.5</v>
      </c>
      <c r="F15" s="2">
        <v>0</v>
      </c>
      <c r="G15" s="2">
        <v>71</v>
      </c>
      <c r="H15" s="2">
        <v>1</v>
      </c>
      <c r="I15" s="2">
        <v>2</v>
      </c>
      <c r="J15" s="2">
        <v>8</v>
      </c>
      <c r="K15" s="2" t="s">
        <v>639</v>
      </c>
      <c r="L15" s="2" t="s">
        <v>32</v>
      </c>
      <c r="M15" s="2"/>
      <c r="N15" s="2" t="s">
        <v>579</v>
      </c>
      <c r="O15" s="2" t="s">
        <v>35</v>
      </c>
      <c r="P15" s="2" t="s">
        <v>36</v>
      </c>
    </row>
    <row r="16" spans="1:29" ht="15" customHeight="1">
      <c r="A16" s="2">
        <v>15</v>
      </c>
      <c r="B16" s="2">
        <f t="shared" si="0"/>
        <v>4015</v>
      </c>
      <c r="C16" s="2" t="s">
        <v>168</v>
      </c>
      <c r="D16" s="2" t="s">
        <v>637</v>
      </c>
      <c r="E16" s="2">
        <f t="shared" si="1"/>
        <v>27.5</v>
      </c>
      <c r="F16" s="2">
        <v>0</v>
      </c>
      <c r="G16" s="2">
        <v>71</v>
      </c>
      <c r="H16" s="2">
        <v>1</v>
      </c>
      <c r="I16" s="2">
        <v>2</v>
      </c>
      <c r="J16" s="2">
        <v>7</v>
      </c>
      <c r="K16" s="2" t="s">
        <v>50</v>
      </c>
      <c r="L16" s="2" t="s">
        <v>32</v>
      </c>
      <c r="M16" s="2"/>
      <c r="N16" s="2" t="s">
        <v>579</v>
      </c>
      <c r="O16" s="2" t="s">
        <v>35</v>
      </c>
      <c r="P16" s="2" t="s">
        <v>36</v>
      </c>
    </row>
    <row r="17" spans="1:16" ht="15" customHeight="1">
      <c r="A17" s="2">
        <v>16</v>
      </c>
      <c r="B17" s="2">
        <f t="shared" si="0"/>
        <v>4016</v>
      </c>
      <c r="C17" s="2" t="s">
        <v>168</v>
      </c>
      <c r="D17" s="2" t="s">
        <v>637</v>
      </c>
      <c r="E17" s="2">
        <f t="shared" si="1"/>
        <v>29.5</v>
      </c>
      <c r="F17" s="2">
        <v>0</v>
      </c>
      <c r="G17" s="2">
        <v>71</v>
      </c>
      <c r="H17" s="2">
        <v>1</v>
      </c>
      <c r="I17" s="2">
        <v>2</v>
      </c>
      <c r="J17" s="2">
        <v>7</v>
      </c>
      <c r="K17" s="2" t="s">
        <v>638</v>
      </c>
      <c r="L17" s="2" t="s">
        <v>32</v>
      </c>
      <c r="M17" s="2"/>
      <c r="N17" s="2" t="s">
        <v>579</v>
      </c>
      <c r="O17" s="2" t="s">
        <v>35</v>
      </c>
      <c r="P17" s="2" t="s">
        <v>36</v>
      </c>
    </row>
    <row r="18" spans="1:16" ht="15" customHeight="1">
      <c r="A18" s="2">
        <v>17</v>
      </c>
      <c r="B18" s="2">
        <f t="shared" si="0"/>
        <v>4017</v>
      </c>
      <c r="C18" s="2" t="s">
        <v>168</v>
      </c>
      <c r="D18" s="2" t="s">
        <v>637</v>
      </c>
      <c r="E18" s="2">
        <f t="shared" si="1"/>
        <v>31.5</v>
      </c>
      <c r="F18" s="2">
        <v>0</v>
      </c>
      <c r="G18" s="2">
        <v>71</v>
      </c>
      <c r="H18" s="2">
        <v>1</v>
      </c>
      <c r="I18" s="2">
        <v>2</v>
      </c>
      <c r="J18" s="2">
        <v>7</v>
      </c>
      <c r="K18" s="2" t="s">
        <v>31</v>
      </c>
      <c r="L18" s="2" t="s">
        <v>32</v>
      </c>
      <c r="M18" s="2"/>
      <c r="N18" s="2" t="s">
        <v>579</v>
      </c>
      <c r="O18" s="2" t="s">
        <v>35</v>
      </c>
      <c r="P18" s="2" t="s">
        <v>36</v>
      </c>
    </row>
    <row r="19" spans="1:16" ht="15" customHeight="1">
      <c r="A19" s="2">
        <v>18</v>
      </c>
      <c r="B19" s="2">
        <f t="shared" si="0"/>
        <v>4018</v>
      </c>
      <c r="C19" s="2" t="s">
        <v>168</v>
      </c>
      <c r="D19" s="2" t="s">
        <v>637</v>
      </c>
      <c r="E19" s="2">
        <f t="shared" si="1"/>
        <v>33.5</v>
      </c>
      <c r="F19" s="2">
        <v>0</v>
      </c>
      <c r="G19" s="2">
        <v>71</v>
      </c>
      <c r="H19" s="2">
        <v>1</v>
      </c>
      <c r="I19" s="2">
        <v>2</v>
      </c>
      <c r="J19" s="2">
        <v>7</v>
      </c>
      <c r="K19" s="2" t="s">
        <v>68</v>
      </c>
      <c r="L19" s="2" t="s">
        <v>32</v>
      </c>
      <c r="M19" s="2"/>
      <c r="N19" s="2" t="s">
        <v>579</v>
      </c>
      <c r="O19" s="2" t="s">
        <v>35</v>
      </c>
      <c r="P19" s="2" t="s">
        <v>36</v>
      </c>
    </row>
    <row r="20" spans="1:16" ht="15" customHeight="1">
      <c r="A20" s="2">
        <v>19</v>
      </c>
      <c r="B20" s="2">
        <f t="shared" si="0"/>
        <v>4019</v>
      </c>
      <c r="C20" s="2" t="s">
        <v>168</v>
      </c>
      <c r="D20" s="2" t="s">
        <v>637</v>
      </c>
      <c r="E20" s="2">
        <f t="shared" si="1"/>
        <v>35.5</v>
      </c>
      <c r="F20" s="2">
        <v>0</v>
      </c>
      <c r="G20" s="2">
        <v>71</v>
      </c>
      <c r="H20" s="2">
        <v>1</v>
      </c>
      <c r="I20" s="2">
        <v>2</v>
      </c>
      <c r="J20" s="2">
        <v>7</v>
      </c>
      <c r="K20" s="2" t="s">
        <v>47</v>
      </c>
      <c r="L20" s="2" t="s">
        <v>32</v>
      </c>
      <c r="M20" s="2"/>
      <c r="N20" s="2" t="s">
        <v>579</v>
      </c>
      <c r="O20" s="2" t="s">
        <v>35</v>
      </c>
      <c r="P20" s="2" t="s">
        <v>36</v>
      </c>
    </row>
    <row r="21" spans="1:16" ht="15" customHeight="1">
      <c r="A21" s="2">
        <v>20</v>
      </c>
      <c r="B21" s="2">
        <f t="shared" si="0"/>
        <v>4020</v>
      </c>
      <c r="C21" s="2" t="s">
        <v>168</v>
      </c>
      <c r="D21" s="2" t="s">
        <v>637</v>
      </c>
      <c r="E21" s="2">
        <f t="shared" si="1"/>
        <v>37.5</v>
      </c>
      <c r="F21" s="2">
        <v>0</v>
      </c>
      <c r="G21" s="2">
        <v>71</v>
      </c>
      <c r="H21" s="2">
        <v>1</v>
      </c>
      <c r="I21" s="2">
        <v>2</v>
      </c>
      <c r="J21" s="2">
        <v>7</v>
      </c>
      <c r="K21" s="2" t="s">
        <v>50</v>
      </c>
      <c r="L21" s="2" t="s">
        <v>32</v>
      </c>
      <c r="M21" s="2"/>
      <c r="N21" s="2" t="s">
        <v>579</v>
      </c>
      <c r="O21" s="2" t="s">
        <v>35</v>
      </c>
      <c r="P21" s="2" t="s">
        <v>36</v>
      </c>
    </row>
    <row r="22" spans="1:16" ht="15" customHeight="1">
      <c r="A22" s="2">
        <v>21</v>
      </c>
      <c r="B22" s="2">
        <f t="shared" si="0"/>
        <v>4021</v>
      </c>
      <c r="C22" s="2" t="s">
        <v>168</v>
      </c>
      <c r="D22" s="2" t="s">
        <v>637</v>
      </c>
      <c r="E22" s="2">
        <f t="shared" si="1"/>
        <v>39.5</v>
      </c>
      <c r="F22" s="2">
        <v>0</v>
      </c>
      <c r="G22" s="2">
        <v>71</v>
      </c>
      <c r="H22" s="2">
        <v>1</v>
      </c>
      <c r="I22" s="2">
        <v>2</v>
      </c>
      <c r="J22" s="2">
        <v>7</v>
      </c>
      <c r="K22" s="2" t="s">
        <v>638</v>
      </c>
      <c r="L22" s="2" t="s">
        <v>32</v>
      </c>
      <c r="M22" s="2"/>
      <c r="N22" s="2" t="s">
        <v>579</v>
      </c>
      <c r="O22" s="2" t="s">
        <v>35</v>
      </c>
      <c r="P22" s="2" t="s">
        <v>36</v>
      </c>
    </row>
    <row r="23" spans="1:16" ht="15" customHeight="1">
      <c r="A23" s="2">
        <v>22</v>
      </c>
      <c r="B23" s="2">
        <f t="shared" si="0"/>
        <v>4022</v>
      </c>
      <c r="C23" s="2" t="s">
        <v>168</v>
      </c>
      <c r="D23" s="2" t="s">
        <v>637</v>
      </c>
      <c r="E23" s="2">
        <f t="shared" si="1"/>
        <v>41.5</v>
      </c>
      <c r="F23" s="2">
        <v>0</v>
      </c>
      <c r="G23" s="2">
        <v>71</v>
      </c>
      <c r="H23" s="2">
        <v>1</v>
      </c>
      <c r="I23" s="2">
        <v>2</v>
      </c>
      <c r="J23" s="2">
        <v>7</v>
      </c>
      <c r="K23" s="2" t="s">
        <v>639</v>
      </c>
      <c r="L23" s="2" t="s">
        <v>32</v>
      </c>
      <c r="M23" s="2"/>
      <c r="N23" s="2" t="s">
        <v>579</v>
      </c>
      <c r="O23" s="2" t="s">
        <v>35</v>
      </c>
      <c r="P23" s="2" t="s">
        <v>36</v>
      </c>
    </row>
    <row r="24" spans="1:16" ht="15" customHeight="1">
      <c r="A24" s="2">
        <v>23</v>
      </c>
      <c r="B24" s="2">
        <f t="shared" si="0"/>
        <v>4023</v>
      </c>
      <c r="C24" s="2" t="s">
        <v>168</v>
      </c>
      <c r="D24" s="2" t="s">
        <v>637</v>
      </c>
      <c r="E24" s="2">
        <f t="shared" si="1"/>
        <v>43.5</v>
      </c>
      <c r="F24" s="2">
        <v>0</v>
      </c>
      <c r="G24" s="2">
        <v>71</v>
      </c>
      <c r="H24" s="2">
        <v>1</v>
      </c>
      <c r="I24" s="2">
        <v>2</v>
      </c>
      <c r="J24" s="2">
        <v>7</v>
      </c>
      <c r="K24" s="2" t="s">
        <v>68</v>
      </c>
      <c r="L24" s="2" t="s">
        <v>32</v>
      </c>
      <c r="M24" s="2"/>
      <c r="N24" s="2" t="s">
        <v>579</v>
      </c>
      <c r="O24" s="2" t="s">
        <v>35</v>
      </c>
      <c r="P24" s="2" t="s">
        <v>36</v>
      </c>
    </row>
    <row r="25" spans="1:16" ht="15" customHeight="1">
      <c r="A25" s="2">
        <v>24</v>
      </c>
      <c r="B25" s="2">
        <f t="shared" si="0"/>
        <v>4024</v>
      </c>
      <c r="C25" s="2" t="s">
        <v>168</v>
      </c>
      <c r="D25" s="2" t="s">
        <v>637</v>
      </c>
      <c r="E25" s="2">
        <f t="shared" si="1"/>
        <v>45.5</v>
      </c>
      <c r="F25" s="2">
        <v>0</v>
      </c>
      <c r="G25" s="2">
        <v>71</v>
      </c>
      <c r="H25" s="2">
        <v>1</v>
      </c>
      <c r="I25" s="2">
        <v>2</v>
      </c>
      <c r="J25" s="2">
        <v>7</v>
      </c>
      <c r="K25" s="2" t="s">
        <v>47</v>
      </c>
      <c r="L25" s="2" t="s">
        <v>32</v>
      </c>
      <c r="M25" s="2"/>
      <c r="N25" s="2" t="s">
        <v>579</v>
      </c>
      <c r="O25" s="2" t="s">
        <v>35</v>
      </c>
      <c r="P25" s="2" t="s">
        <v>36</v>
      </c>
    </row>
    <row r="26" spans="1:16" ht="15" customHeight="1">
      <c r="A26" s="2">
        <v>25</v>
      </c>
      <c r="B26" s="2">
        <f t="shared" si="0"/>
        <v>4025</v>
      </c>
      <c r="C26" s="2" t="s">
        <v>168</v>
      </c>
      <c r="D26" s="2" t="s">
        <v>637</v>
      </c>
      <c r="E26" s="2">
        <f t="shared" si="1"/>
        <v>47.5</v>
      </c>
      <c r="F26" s="2">
        <v>0</v>
      </c>
      <c r="G26" s="2">
        <v>71</v>
      </c>
      <c r="H26" s="2">
        <v>1</v>
      </c>
      <c r="I26" s="2">
        <v>2</v>
      </c>
      <c r="J26" s="2">
        <v>7</v>
      </c>
      <c r="K26" s="2" t="s">
        <v>31</v>
      </c>
      <c r="L26" s="2" t="s">
        <v>32</v>
      </c>
      <c r="M26" s="2"/>
      <c r="N26" s="2" t="s">
        <v>579</v>
      </c>
      <c r="O26" s="2" t="s">
        <v>35</v>
      </c>
      <c r="P26" s="2" t="s">
        <v>36</v>
      </c>
    </row>
    <row r="27" spans="1:16" ht="15" customHeight="1">
      <c r="A27" s="2">
        <v>26</v>
      </c>
      <c r="B27" s="2">
        <f t="shared" si="0"/>
        <v>4026</v>
      </c>
      <c r="C27" s="2" t="s">
        <v>168</v>
      </c>
      <c r="D27" s="2" t="s">
        <v>637</v>
      </c>
      <c r="E27" s="2">
        <f t="shared" si="1"/>
        <v>49.5</v>
      </c>
      <c r="F27" s="2">
        <v>0</v>
      </c>
      <c r="G27" s="2">
        <v>71</v>
      </c>
      <c r="H27" s="2">
        <v>1</v>
      </c>
      <c r="I27" s="2">
        <v>2</v>
      </c>
      <c r="J27" s="2">
        <v>8</v>
      </c>
      <c r="K27" s="2" t="s">
        <v>639</v>
      </c>
      <c r="L27" s="2" t="s">
        <v>32</v>
      </c>
      <c r="M27" s="2"/>
      <c r="N27" s="2" t="s">
        <v>579</v>
      </c>
      <c r="O27" s="2" t="s">
        <v>35</v>
      </c>
      <c r="P27" s="2" t="s">
        <v>36</v>
      </c>
    </row>
    <row r="28" spans="1:16" ht="15" customHeight="1">
      <c r="A28" s="2">
        <v>27</v>
      </c>
      <c r="B28" s="2">
        <f t="shared" si="0"/>
        <v>4027</v>
      </c>
      <c r="C28" s="2" t="s">
        <v>168</v>
      </c>
      <c r="D28" s="2" t="s">
        <v>637</v>
      </c>
      <c r="E28" s="2">
        <f t="shared" si="1"/>
        <v>51.5</v>
      </c>
      <c r="F28" s="2">
        <v>0</v>
      </c>
      <c r="G28" s="2">
        <v>71</v>
      </c>
      <c r="H28" s="2">
        <v>1</v>
      </c>
      <c r="I28" s="2">
        <v>2</v>
      </c>
      <c r="J28" s="2">
        <v>7</v>
      </c>
      <c r="K28" s="2" t="s">
        <v>638</v>
      </c>
      <c r="L28" s="2" t="s">
        <v>32</v>
      </c>
      <c r="M28" s="2"/>
      <c r="N28" s="2" t="s">
        <v>579</v>
      </c>
      <c r="O28" s="2" t="s">
        <v>35</v>
      </c>
      <c r="P28" s="2" t="s">
        <v>36</v>
      </c>
    </row>
    <row r="29" spans="1:16" ht="15" customHeight="1">
      <c r="A29" s="2">
        <v>28</v>
      </c>
      <c r="B29" s="2">
        <f t="shared" si="0"/>
        <v>4028</v>
      </c>
      <c r="C29" s="2" t="s">
        <v>168</v>
      </c>
      <c r="D29" s="2" t="s">
        <v>637</v>
      </c>
      <c r="E29" s="2">
        <f t="shared" si="1"/>
        <v>53.5</v>
      </c>
      <c r="F29" s="2">
        <v>0</v>
      </c>
      <c r="G29" s="2">
        <v>71</v>
      </c>
      <c r="H29" s="2">
        <v>1</v>
      </c>
      <c r="I29" s="2">
        <v>2</v>
      </c>
      <c r="J29" s="2">
        <v>7</v>
      </c>
      <c r="K29" s="2" t="s">
        <v>31</v>
      </c>
      <c r="L29" s="2" t="s">
        <v>32</v>
      </c>
      <c r="M29" s="2"/>
      <c r="N29" s="2" t="s">
        <v>579</v>
      </c>
      <c r="O29" s="2" t="s">
        <v>35</v>
      </c>
      <c r="P29" s="2" t="s">
        <v>36</v>
      </c>
    </row>
    <row r="30" spans="1:16" ht="15" customHeight="1">
      <c r="A30" s="2">
        <v>29</v>
      </c>
      <c r="B30" s="2">
        <f t="shared" si="0"/>
        <v>4029</v>
      </c>
      <c r="C30" s="2" t="s">
        <v>168</v>
      </c>
      <c r="D30" s="2" t="s">
        <v>637</v>
      </c>
      <c r="E30" s="2">
        <f t="shared" si="1"/>
        <v>55.5</v>
      </c>
      <c r="F30" s="2">
        <v>0</v>
      </c>
      <c r="G30" s="2">
        <v>71</v>
      </c>
      <c r="H30" s="2">
        <v>1</v>
      </c>
      <c r="I30" s="2">
        <v>2</v>
      </c>
      <c r="J30" s="2">
        <v>7</v>
      </c>
      <c r="K30" s="2" t="s">
        <v>104</v>
      </c>
      <c r="L30" s="2" t="s">
        <v>32</v>
      </c>
      <c r="M30" s="2"/>
      <c r="N30" s="2" t="s">
        <v>582</v>
      </c>
      <c r="O30" s="2" t="s">
        <v>35</v>
      </c>
      <c r="P30" s="2" t="s">
        <v>36</v>
      </c>
    </row>
    <row r="31" spans="1:16" ht="15" customHeight="1">
      <c r="A31" s="2">
        <v>30</v>
      </c>
      <c r="B31" s="2">
        <f t="shared" si="0"/>
        <v>4030</v>
      </c>
      <c r="C31" s="2" t="s">
        <v>168</v>
      </c>
      <c r="D31" s="2" t="s">
        <v>637</v>
      </c>
      <c r="E31" s="2">
        <f t="shared" si="1"/>
        <v>57.5</v>
      </c>
      <c r="F31" s="2">
        <v>0</v>
      </c>
      <c r="G31" s="2">
        <v>71</v>
      </c>
      <c r="H31" s="2">
        <v>1</v>
      </c>
      <c r="I31" s="2">
        <v>2</v>
      </c>
      <c r="J31" s="2">
        <v>7</v>
      </c>
      <c r="K31" s="2" t="s">
        <v>50</v>
      </c>
      <c r="L31" s="2" t="s">
        <v>32</v>
      </c>
      <c r="M31" s="2"/>
      <c r="N31" s="2" t="s">
        <v>582</v>
      </c>
      <c r="O31" s="2" t="s">
        <v>35</v>
      </c>
      <c r="P31" s="2" t="s">
        <v>36</v>
      </c>
    </row>
    <row r="32" spans="1:16" ht="15" customHeight="1">
      <c r="A32" s="2">
        <v>31</v>
      </c>
      <c r="B32" s="2">
        <f t="shared" si="0"/>
        <v>4031</v>
      </c>
      <c r="C32" s="2" t="s">
        <v>168</v>
      </c>
      <c r="D32" s="2" t="s">
        <v>637</v>
      </c>
      <c r="E32" s="2">
        <f t="shared" si="1"/>
        <v>59.5</v>
      </c>
      <c r="F32" s="2">
        <v>0</v>
      </c>
      <c r="G32" s="2">
        <v>71</v>
      </c>
      <c r="H32" s="2">
        <v>1</v>
      </c>
      <c r="I32" s="2">
        <v>2</v>
      </c>
      <c r="J32" s="2">
        <v>7</v>
      </c>
      <c r="K32" s="2" t="s">
        <v>68</v>
      </c>
      <c r="L32" s="2" t="s">
        <v>32</v>
      </c>
      <c r="M32" s="2"/>
      <c r="N32" s="2" t="s">
        <v>582</v>
      </c>
      <c r="O32" s="2" t="s">
        <v>35</v>
      </c>
      <c r="P32" s="2" t="s">
        <v>36</v>
      </c>
    </row>
    <row r="33" spans="1:16" ht="15" customHeight="1">
      <c r="A33" s="2">
        <v>32</v>
      </c>
      <c r="B33" s="2">
        <f t="shared" si="0"/>
        <v>4032</v>
      </c>
      <c r="C33" s="2" t="s">
        <v>168</v>
      </c>
      <c r="D33" s="2" t="s">
        <v>637</v>
      </c>
      <c r="E33" s="2">
        <f t="shared" si="1"/>
        <v>61.5</v>
      </c>
      <c r="F33" s="2">
        <v>0</v>
      </c>
      <c r="G33" s="2">
        <v>71</v>
      </c>
      <c r="H33" s="2">
        <v>1</v>
      </c>
      <c r="I33" s="2">
        <v>2</v>
      </c>
      <c r="J33" s="2">
        <v>7</v>
      </c>
      <c r="K33" s="2" t="s">
        <v>104</v>
      </c>
      <c r="L33" s="2" t="s">
        <v>32</v>
      </c>
      <c r="M33" s="2"/>
      <c r="N33" s="2" t="s">
        <v>582</v>
      </c>
      <c r="O33" s="2" t="s">
        <v>35</v>
      </c>
      <c r="P33" s="2" t="s">
        <v>36</v>
      </c>
    </row>
    <row r="34" spans="1:16" ht="15" customHeight="1">
      <c r="A34" s="2">
        <v>33</v>
      </c>
      <c r="B34" s="2">
        <f t="shared" si="0"/>
        <v>4033</v>
      </c>
      <c r="C34" s="2" t="s">
        <v>168</v>
      </c>
      <c r="D34" s="2" t="s">
        <v>637</v>
      </c>
      <c r="E34" s="2">
        <f t="shared" si="1"/>
        <v>63.5</v>
      </c>
      <c r="F34" s="2">
        <v>0</v>
      </c>
      <c r="G34" s="2">
        <v>71</v>
      </c>
      <c r="H34" s="2">
        <v>1</v>
      </c>
      <c r="I34" s="2">
        <v>2</v>
      </c>
      <c r="J34" s="2">
        <v>8</v>
      </c>
      <c r="K34" s="2" t="s">
        <v>639</v>
      </c>
      <c r="L34" s="2" t="s">
        <v>32</v>
      </c>
      <c r="M34" s="2"/>
      <c r="N34" s="2" t="s">
        <v>582</v>
      </c>
      <c r="O34" s="2" t="s">
        <v>35</v>
      </c>
      <c r="P34" s="2" t="s">
        <v>36</v>
      </c>
    </row>
    <row r="35" spans="1:16" ht="15" customHeight="1">
      <c r="A35" s="2">
        <v>34</v>
      </c>
      <c r="B35" s="2">
        <f t="shared" si="0"/>
        <v>4034</v>
      </c>
      <c r="C35" s="2" t="s">
        <v>168</v>
      </c>
      <c r="D35" s="2" t="s">
        <v>637</v>
      </c>
      <c r="E35" s="2">
        <f t="shared" si="1"/>
        <v>65.5</v>
      </c>
      <c r="F35" s="2">
        <v>0</v>
      </c>
      <c r="G35" s="2">
        <v>71</v>
      </c>
      <c r="H35" s="2">
        <v>1</v>
      </c>
      <c r="I35" s="2">
        <v>2</v>
      </c>
      <c r="J35" s="2">
        <v>7</v>
      </c>
      <c r="K35" s="2" t="s">
        <v>638</v>
      </c>
      <c r="L35" s="2" t="s">
        <v>32</v>
      </c>
      <c r="M35" s="2"/>
      <c r="N35" s="2" t="s">
        <v>582</v>
      </c>
      <c r="O35" s="2" t="s">
        <v>35</v>
      </c>
      <c r="P35" s="2" t="s">
        <v>36</v>
      </c>
    </row>
    <row r="36" spans="1:16" ht="15" customHeight="1">
      <c r="A36" s="2">
        <v>35</v>
      </c>
      <c r="B36" s="2">
        <f t="shared" si="0"/>
        <v>4035</v>
      </c>
      <c r="C36" s="2" t="s">
        <v>168</v>
      </c>
      <c r="D36" s="2" t="s">
        <v>637</v>
      </c>
      <c r="E36" s="2">
        <f t="shared" si="1"/>
        <v>67.5</v>
      </c>
      <c r="F36" s="2">
        <v>0</v>
      </c>
      <c r="G36" s="2">
        <v>71</v>
      </c>
      <c r="H36" s="2">
        <v>1</v>
      </c>
      <c r="I36" s="2">
        <v>2</v>
      </c>
      <c r="J36" s="2">
        <v>7</v>
      </c>
      <c r="K36" s="2" t="s">
        <v>68</v>
      </c>
      <c r="L36" s="2" t="s">
        <v>32</v>
      </c>
      <c r="M36" s="2"/>
      <c r="N36" s="2" t="s">
        <v>582</v>
      </c>
      <c r="O36" s="2" t="s">
        <v>35</v>
      </c>
      <c r="P36" s="2" t="s">
        <v>36</v>
      </c>
    </row>
    <row r="37" spans="1:16" ht="15" customHeight="1">
      <c r="A37" s="2">
        <v>36</v>
      </c>
      <c r="B37" s="2">
        <f t="shared" si="0"/>
        <v>4036</v>
      </c>
      <c r="C37" s="2" t="s">
        <v>168</v>
      </c>
      <c r="D37" s="2" t="s">
        <v>637</v>
      </c>
      <c r="E37" s="2">
        <f t="shared" si="1"/>
        <v>69.5</v>
      </c>
      <c r="F37" s="2">
        <v>0</v>
      </c>
      <c r="G37" s="2">
        <v>71</v>
      </c>
      <c r="H37" s="2">
        <v>1</v>
      </c>
      <c r="I37" s="2">
        <v>2</v>
      </c>
      <c r="J37" s="2">
        <v>7</v>
      </c>
      <c r="K37" s="2" t="s">
        <v>31</v>
      </c>
      <c r="L37" s="2" t="s">
        <v>32</v>
      </c>
      <c r="M37" s="2"/>
      <c r="N37" s="2" t="s">
        <v>582</v>
      </c>
      <c r="O37" s="2" t="s">
        <v>35</v>
      </c>
      <c r="P37" s="2" t="s">
        <v>36</v>
      </c>
    </row>
    <row r="38" spans="1:16" ht="15" customHeight="1">
      <c r="A38" s="2">
        <v>37</v>
      </c>
      <c r="B38" s="2">
        <f t="shared" si="0"/>
        <v>4037</v>
      </c>
      <c r="C38" s="2" t="s">
        <v>168</v>
      </c>
      <c r="D38" s="2" t="s">
        <v>637</v>
      </c>
      <c r="E38" s="2">
        <f t="shared" si="1"/>
        <v>71.5</v>
      </c>
      <c r="F38" s="2">
        <v>0</v>
      </c>
      <c r="G38" s="2">
        <v>71</v>
      </c>
      <c r="H38" s="2">
        <v>1</v>
      </c>
      <c r="I38" s="2">
        <v>2</v>
      </c>
      <c r="J38" s="2">
        <v>7</v>
      </c>
      <c r="K38" s="2" t="s">
        <v>61</v>
      </c>
      <c r="L38" s="2" t="s">
        <v>32</v>
      </c>
      <c r="M38" s="2"/>
      <c r="N38" s="2" t="s">
        <v>582</v>
      </c>
      <c r="O38" s="2" t="s">
        <v>35</v>
      </c>
      <c r="P38" s="2" t="s">
        <v>36</v>
      </c>
    </row>
    <row r="39" spans="1:16" ht="15" customHeight="1">
      <c r="A39" s="2">
        <v>38</v>
      </c>
      <c r="B39" s="2">
        <f t="shared" si="0"/>
        <v>4038</v>
      </c>
      <c r="C39" s="2" t="s">
        <v>168</v>
      </c>
      <c r="D39" s="2" t="s">
        <v>637</v>
      </c>
      <c r="E39" s="2">
        <f t="shared" si="1"/>
        <v>73.5</v>
      </c>
      <c r="F39" s="2">
        <v>0</v>
      </c>
      <c r="G39" s="2">
        <v>71</v>
      </c>
      <c r="H39" s="2">
        <v>1</v>
      </c>
      <c r="I39" s="2">
        <v>2</v>
      </c>
      <c r="J39" s="2">
        <v>7</v>
      </c>
      <c r="K39" s="2" t="s">
        <v>50</v>
      </c>
      <c r="L39" s="2" t="s">
        <v>32</v>
      </c>
      <c r="M39" s="2"/>
      <c r="N39" s="2" t="s">
        <v>582</v>
      </c>
      <c r="O39" s="2" t="s">
        <v>35</v>
      </c>
      <c r="P39" s="2" t="s">
        <v>36</v>
      </c>
    </row>
    <row r="40" spans="1:16" ht="15" customHeight="1">
      <c r="A40" s="2">
        <v>39</v>
      </c>
      <c r="B40" s="2">
        <f t="shared" si="0"/>
        <v>4039</v>
      </c>
      <c r="C40" s="2" t="s">
        <v>168</v>
      </c>
      <c r="D40" s="2" t="s">
        <v>637</v>
      </c>
      <c r="E40" s="2">
        <f t="shared" si="1"/>
        <v>75.5</v>
      </c>
      <c r="F40" s="2">
        <v>0</v>
      </c>
      <c r="G40" s="2">
        <v>71</v>
      </c>
      <c r="H40" s="2">
        <v>1</v>
      </c>
      <c r="I40" s="2">
        <v>2</v>
      </c>
      <c r="J40" s="2">
        <v>7</v>
      </c>
      <c r="K40" s="2" t="s">
        <v>31</v>
      </c>
      <c r="L40" s="2" t="s">
        <v>32</v>
      </c>
      <c r="M40" s="2"/>
      <c r="N40" s="2" t="s">
        <v>582</v>
      </c>
      <c r="O40" s="2" t="s">
        <v>35</v>
      </c>
      <c r="P40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1"/>
  <sheetViews>
    <sheetView workbookViewId="0">
      <selection activeCell="J39" sqref="J39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48" customHeight="1">
      <c r="A2" s="2">
        <v>1</v>
      </c>
      <c r="B2" s="2">
        <f t="shared" ref="B2:B17" si="0">4040+A2-1</f>
        <v>4040</v>
      </c>
      <c r="C2" s="2" t="s">
        <v>171</v>
      </c>
      <c r="D2" s="2" t="s">
        <v>640</v>
      </c>
      <c r="E2" s="2">
        <f t="shared" ref="E2:E30" si="1">-2.5+2*(A2-1)</f>
        <v>-2.5</v>
      </c>
      <c r="F2" s="2">
        <v>0</v>
      </c>
      <c r="G2" s="2">
        <v>71</v>
      </c>
      <c r="H2" s="2">
        <v>1</v>
      </c>
      <c r="I2" s="2">
        <v>2</v>
      </c>
      <c r="J2" s="2">
        <v>7</v>
      </c>
      <c r="K2" s="2" t="s">
        <v>68</v>
      </c>
      <c r="L2" s="2" t="s">
        <v>32</v>
      </c>
      <c r="M2" s="4" t="s">
        <v>641</v>
      </c>
      <c r="N2" s="2" t="s">
        <v>585</v>
      </c>
      <c r="O2" s="2" t="s">
        <v>35</v>
      </c>
      <c r="P2" s="2" t="s">
        <v>36</v>
      </c>
    </row>
    <row r="3" spans="1:29" ht="15" customHeight="1">
      <c r="A3" s="2">
        <v>2</v>
      </c>
      <c r="B3" s="2">
        <f t="shared" si="0"/>
        <v>4041</v>
      </c>
      <c r="C3" s="2" t="s">
        <v>171</v>
      </c>
      <c r="D3" s="2" t="s">
        <v>640</v>
      </c>
      <c r="E3" s="2">
        <f t="shared" si="1"/>
        <v>-0.5</v>
      </c>
      <c r="F3" s="2">
        <v>0</v>
      </c>
      <c r="G3" s="2">
        <v>71</v>
      </c>
      <c r="H3" s="2">
        <v>1</v>
      </c>
      <c r="I3" s="2">
        <v>2</v>
      </c>
      <c r="J3" s="2">
        <v>8</v>
      </c>
      <c r="K3" s="2" t="s">
        <v>47</v>
      </c>
      <c r="L3" s="2" t="s">
        <v>32</v>
      </c>
      <c r="M3" s="2"/>
      <c r="N3" s="2" t="s">
        <v>585</v>
      </c>
      <c r="O3" s="2" t="s">
        <v>35</v>
      </c>
      <c r="P3" s="2" t="s">
        <v>36</v>
      </c>
    </row>
    <row r="4" spans="1:29" ht="15" customHeight="1">
      <c r="A4" s="2">
        <v>3</v>
      </c>
      <c r="B4" s="2">
        <f t="shared" si="0"/>
        <v>4042</v>
      </c>
      <c r="C4" s="2" t="s">
        <v>171</v>
      </c>
      <c r="D4" s="2" t="s">
        <v>640</v>
      </c>
      <c r="E4" s="2">
        <f t="shared" si="1"/>
        <v>1.5</v>
      </c>
      <c r="F4" s="2">
        <v>0</v>
      </c>
      <c r="G4" s="2">
        <v>71</v>
      </c>
      <c r="H4" s="2">
        <v>1</v>
      </c>
      <c r="I4" s="2">
        <v>2</v>
      </c>
      <c r="J4" s="2">
        <v>7</v>
      </c>
      <c r="K4" s="2" t="s">
        <v>61</v>
      </c>
      <c r="L4" s="2" t="s">
        <v>32</v>
      </c>
      <c r="M4" s="2"/>
      <c r="N4" s="2" t="s">
        <v>585</v>
      </c>
      <c r="O4" s="2" t="s">
        <v>35</v>
      </c>
      <c r="P4" s="2" t="s">
        <v>36</v>
      </c>
    </row>
    <row r="5" spans="1:29" ht="15" customHeight="1">
      <c r="A5" s="2">
        <v>4</v>
      </c>
      <c r="B5" s="2">
        <f t="shared" si="0"/>
        <v>4043</v>
      </c>
      <c r="C5" s="2" t="s">
        <v>171</v>
      </c>
      <c r="D5" s="2" t="s">
        <v>640</v>
      </c>
      <c r="E5" s="2">
        <f t="shared" si="1"/>
        <v>3.5</v>
      </c>
      <c r="F5" s="2">
        <v>0</v>
      </c>
      <c r="G5" s="2">
        <v>71</v>
      </c>
      <c r="H5" s="2">
        <v>1</v>
      </c>
      <c r="I5" s="2">
        <v>2</v>
      </c>
      <c r="J5" s="2">
        <v>7</v>
      </c>
      <c r="K5" s="2" t="s">
        <v>50</v>
      </c>
      <c r="L5" s="2" t="s">
        <v>32</v>
      </c>
      <c r="M5" s="2"/>
      <c r="N5" s="2" t="s">
        <v>585</v>
      </c>
      <c r="O5" s="2" t="s">
        <v>35</v>
      </c>
      <c r="P5" s="2" t="s">
        <v>36</v>
      </c>
    </row>
    <row r="6" spans="1:29" ht="15" customHeight="1">
      <c r="A6" s="2">
        <v>5</v>
      </c>
      <c r="B6" s="2">
        <f t="shared" si="0"/>
        <v>4044</v>
      </c>
      <c r="C6" s="2" t="s">
        <v>171</v>
      </c>
      <c r="D6" s="2" t="s">
        <v>640</v>
      </c>
      <c r="E6" s="2">
        <f t="shared" si="1"/>
        <v>5.5</v>
      </c>
      <c r="F6" s="2">
        <v>0</v>
      </c>
      <c r="G6" s="2">
        <v>71</v>
      </c>
      <c r="H6" s="2">
        <v>1</v>
      </c>
      <c r="I6" s="2">
        <v>2</v>
      </c>
      <c r="J6" s="2">
        <v>7</v>
      </c>
      <c r="K6" s="2" t="s">
        <v>68</v>
      </c>
      <c r="L6" s="2" t="s">
        <v>32</v>
      </c>
      <c r="M6" s="2"/>
      <c r="N6" s="2" t="s">
        <v>585</v>
      </c>
      <c r="O6" s="2" t="s">
        <v>35</v>
      </c>
      <c r="P6" s="2" t="s">
        <v>36</v>
      </c>
    </row>
    <row r="7" spans="1:29" ht="15" customHeight="1">
      <c r="A7" s="2">
        <v>6</v>
      </c>
      <c r="B7" s="2">
        <f t="shared" si="0"/>
        <v>4045</v>
      </c>
      <c r="C7" s="2" t="s">
        <v>171</v>
      </c>
      <c r="D7" s="2" t="s">
        <v>640</v>
      </c>
      <c r="E7" s="2">
        <f t="shared" si="1"/>
        <v>7.5</v>
      </c>
      <c r="F7" s="2">
        <v>0</v>
      </c>
      <c r="G7" s="2">
        <v>71</v>
      </c>
      <c r="H7" s="2">
        <v>1</v>
      </c>
      <c r="I7" s="2">
        <v>2</v>
      </c>
      <c r="J7" s="2">
        <v>7</v>
      </c>
      <c r="K7" s="2" t="s">
        <v>47</v>
      </c>
      <c r="L7" s="2" t="s">
        <v>32</v>
      </c>
      <c r="M7" s="2"/>
      <c r="N7" s="2" t="s">
        <v>585</v>
      </c>
      <c r="O7" s="2" t="s">
        <v>35</v>
      </c>
      <c r="P7" s="2" t="s">
        <v>36</v>
      </c>
    </row>
    <row r="8" spans="1:29" ht="15" customHeight="1">
      <c r="A8" s="2">
        <v>7</v>
      </c>
      <c r="B8" s="2">
        <f t="shared" si="0"/>
        <v>4046</v>
      </c>
      <c r="C8" s="2" t="s">
        <v>171</v>
      </c>
      <c r="D8" s="2" t="s">
        <v>640</v>
      </c>
      <c r="E8" s="2">
        <f t="shared" si="1"/>
        <v>9.5</v>
      </c>
      <c r="F8" s="2">
        <v>0</v>
      </c>
      <c r="G8" s="2">
        <v>71</v>
      </c>
      <c r="H8" s="2">
        <v>1</v>
      </c>
      <c r="I8" s="2">
        <v>2</v>
      </c>
      <c r="J8" s="2">
        <v>7</v>
      </c>
      <c r="K8" s="2" t="s">
        <v>61</v>
      </c>
      <c r="L8" s="2" t="s">
        <v>32</v>
      </c>
      <c r="M8" s="2"/>
      <c r="N8" s="2" t="s">
        <v>585</v>
      </c>
      <c r="O8" s="2" t="s">
        <v>35</v>
      </c>
      <c r="P8" s="2" t="s">
        <v>36</v>
      </c>
    </row>
    <row r="9" spans="1:29" ht="15" customHeight="1">
      <c r="A9" s="2">
        <v>8</v>
      </c>
      <c r="B9" s="2">
        <f t="shared" si="0"/>
        <v>4047</v>
      </c>
      <c r="C9" s="2" t="s">
        <v>171</v>
      </c>
      <c r="D9" s="2" t="s">
        <v>640</v>
      </c>
      <c r="E9" s="2">
        <f t="shared" si="1"/>
        <v>11.5</v>
      </c>
      <c r="F9" s="2">
        <v>0</v>
      </c>
      <c r="G9" s="2">
        <v>71</v>
      </c>
      <c r="H9" s="2">
        <v>1</v>
      </c>
      <c r="I9" s="2">
        <v>2</v>
      </c>
      <c r="J9" s="2">
        <v>7</v>
      </c>
      <c r="K9" s="2" t="s">
        <v>50</v>
      </c>
      <c r="L9" s="2" t="s">
        <v>32</v>
      </c>
      <c r="M9" s="2"/>
      <c r="N9" s="2" t="s">
        <v>585</v>
      </c>
      <c r="O9" s="2" t="s">
        <v>35</v>
      </c>
      <c r="P9" s="2" t="s">
        <v>36</v>
      </c>
    </row>
    <row r="10" spans="1:29" ht="15" customHeight="1">
      <c r="A10" s="2">
        <v>9</v>
      </c>
      <c r="B10" s="2">
        <f t="shared" si="0"/>
        <v>4048</v>
      </c>
      <c r="C10" s="2" t="s">
        <v>171</v>
      </c>
      <c r="D10" s="2" t="s">
        <v>640</v>
      </c>
      <c r="E10" s="2">
        <f t="shared" si="1"/>
        <v>13.5</v>
      </c>
      <c r="F10" s="2">
        <v>0</v>
      </c>
      <c r="G10" s="2">
        <v>71</v>
      </c>
      <c r="H10" s="2">
        <v>1</v>
      </c>
      <c r="I10" s="2">
        <v>2</v>
      </c>
      <c r="J10" s="2">
        <v>7</v>
      </c>
      <c r="K10" s="2" t="s">
        <v>68</v>
      </c>
      <c r="L10" s="2" t="s">
        <v>32</v>
      </c>
      <c r="M10" s="2"/>
      <c r="N10" s="2" t="s">
        <v>585</v>
      </c>
      <c r="O10" s="2" t="s">
        <v>35</v>
      </c>
      <c r="P10" s="2" t="s">
        <v>36</v>
      </c>
    </row>
    <row r="11" spans="1:29" ht="15" customHeight="1">
      <c r="A11" s="2">
        <v>10</v>
      </c>
      <c r="B11" s="2">
        <f t="shared" si="0"/>
        <v>4049</v>
      </c>
      <c r="C11" s="2" t="s">
        <v>171</v>
      </c>
      <c r="D11" s="2" t="s">
        <v>640</v>
      </c>
      <c r="E11" s="2">
        <f t="shared" si="1"/>
        <v>15.5</v>
      </c>
      <c r="F11" s="2">
        <v>0</v>
      </c>
      <c r="G11" s="2">
        <v>71</v>
      </c>
      <c r="H11" s="2">
        <v>1</v>
      </c>
      <c r="I11" s="2">
        <v>2</v>
      </c>
      <c r="J11" s="2">
        <v>7</v>
      </c>
      <c r="K11" s="2" t="s">
        <v>92</v>
      </c>
      <c r="L11" s="2" t="s">
        <v>32</v>
      </c>
      <c r="M11" s="2"/>
      <c r="N11" s="2" t="s">
        <v>585</v>
      </c>
      <c r="O11" s="2" t="s">
        <v>35</v>
      </c>
      <c r="P11" s="2" t="s">
        <v>36</v>
      </c>
    </row>
    <row r="12" spans="1:29" ht="15" customHeight="1">
      <c r="A12" s="2">
        <v>11</v>
      </c>
      <c r="B12" s="2">
        <f t="shared" si="0"/>
        <v>4050</v>
      </c>
      <c r="C12" s="2" t="s">
        <v>171</v>
      </c>
      <c r="D12" s="2" t="s">
        <v>640</v>
      </c>
      <c r="E12" s="2">
        <f t="shared" si="1"/>
        <v>17.5</v>
      </c>
      <c r="F12" s="2">
        <v>0</v>
      </c>
      <c r="G12" s="2">
        <v>71</v>
      </c>
      <c r="H12" s="2">
        <v>1</v>
      </c>
      <c r="I12" s="2">
        <v>2</v>
      </c>
      <c r="J12" s="2">
        <v>7</v>
      </c>
      <c r="K12" s="2" t="s">
        <v>61</v>
      </c>
      <c r="L12" s="2" t="s">
        <v>32</v>
      </c>
      <c r="M12" s="2"/>
      <c r="N12" s="2" t="s">
        <v>585</v>
      </c>
      <c r="O12" s="2" t="s">
        <v>35</v>
      </c>
      <c r="P12" s="2" t="s">
        <v>36</v>
      </c>
    </row>
    <row r="13" spans="1:29" ht="15" customHeight="1">
      <c r="A13" s="2">
        <v>12</v>
      </c>
      <c r="B13" s="2">
        <f t="shared" si="0"/>
        <v>4051</v>
      </c>
      <c r="C13" s="2" t="s">
        <v>171</v>
      </c>
      <c r="D13" s="2" t="s">
        <v>640</v>
      </c>
      <c r="E13" s="2">
        <f t="shared" si="1"/>
        <v>19.5</v>
      </c>
      <c r="F13" s="2">
        <v>0</v>
      </c>
      <c r="G13" s="2">
        <v>71</v>
      </c>
      <c r="H13" s="2">
        <v>1</v>
      </c>
      <c r="I13" s="2">
        <v>2</v>
      </c>
      <c r="J13" s="2">
        <v>7</v>
      </c>
      <c r="K13" s="2" t="s">
        <v>50</v>
      </c>
      <c r="L13" s="2" t="s">
        <v>32</v>
      </c>
      <c r="M13" s="2"/>
      <c r="N13" s="2" t="s">
        <v>585</v>
      </c>
      <c r="O13" s="2" t="s">
        <v>35</v>
      </c>
      <c r="P13" s="2" t="s">
        <v>36</v>
      </c>
    </row>
    <row r="14" spans="1:29" ht="15" customHeight="1">
      <c r="A14" s="2">
        <v>13</v>
      </c>
      <c r="B14" s="2">
        <f t="shared" si="0"/>
        <v>4052</v>
      </c>
      <c r="C14" s="2" t="s">
        <v>171</v>
      </c>
      <c r="D14" s="2" t="s">
        <v>640</v>
      </c>
      <c r="E14" s="2">
        <f t="shared" si="1"/>
        <v>21.5</v>
      </c>
      <c r="F14" s="2">
        <v>0</v>
      </c>
      <c r="G14" s="2">
        <v>71</v>
      </c>
      <c r="H14" s="2">
        <v>1</v>
      </c>
      <c r="I14" s="2">
        <v>2</v>
      </c>
      <c r="J14" s="2">
        <v>7</v>
      </c>
      <c r="K14" s="2" t="s">
        <v>68</v>
      </c>
      <c r="L14" s="2" t="s">
        <v>32</v>
      </c>
      <c r="M14" s="2" t="s">
        <v>642</v>
      </c>
      <c r="N14" s="2" t="s">
        <v>585</v>
      </c>
      <c r="O14" s="2" t="s">
        <v>35</v>
      </c>
      <c r="P14" s="2" t="s">
        <v>36</v>
      </c>
    </row>
    <row r="15" spans="1:29" ht="15" customHeight="1">
      <c r="A15" s="2">
        <v>14</v>
      </c>
      <c r="B15" s="2">
        <f t="shared" si="0"/>
        <v>4053</v>
      </c>
      <c r="C15" s="2" t="s">
        <v>171</v>
      </c>
      <c r="D15" s="2" t="s">
        <v>640</v>
      </c>
      <c r="E15" s="2">
        <f t="shared" si="1"/>
        <v>23.5</v>
      </c>
      <c r="F15" s="2">
        <v>0</v>
      </c>
      <c r="G15" s="2">
        <v>71</v>
      </c>
      <c r="H15" s="2">
        <v>1</v>
      </c>
      <c r="I15" s="2">
        <v>2</v>
      </c>
      <c r="J15" s="2">
        <v>8</v>
      </c>
      <c r="K15" s="2" t="s">
        <v>92</v>
      </c>
      <c r="L15" s="2" t="s">
        <v>32</v>
      </c>
      <c r="M15" s="2"/>
      <c r="N15" s="2" t="s">
        <v>585</v>
      </c>
      <c r="O15" s="2" t="s">
        <v>35</v>
      </c>
      <c r="P15" s="2" t="s">
        <v>36</v>
      </c>
    </row>
    <row r="16" spans="1:29" ht="15" customHeight="1">
      <c r="A16" s="2">
        <v>15</v>
      </c>
      <c r="B16" s="2">
        <f t="shared" si="0"/>
        <v>4054</v>
      </c>
      <c r="C16" s="2" t="s">
        <v>171</v>
      </c>
      <c r="D16" s="2" t="s">
        <v>640</v>
      </c>
      <c r="E16" s="2">
        <f t="shared" si="1"/>
        <v>25.5</v>
      </c>
      <c r="F16" s="2">
        <v>0</v>
      </c>
      <c r="G16" s="2">
        <v>71</v>
      </c>
      <c r="H16" s="2">
        <v>1</v>
      </c>
      <c r="I16" s="2">
        <v>2</v>
      </c>
      <c r="J16" s="2">
        <v>7</v>
      </c>
      <c r="K16" s="2" t="s">
        <v>68</v>
      </c>
      <c r="L16" s="2" t="s">
        <v>32</v>
      </c>
      <c r="M16" s="2"/>
      <c r="N16" s="2" t="s">
        <v>585</v>
      </c>
      <c r="O16" s="2" t="s">
        <v>35</v>
      </c>
      <c r="P16" s="2" t="s">
        <v>36</v>
      </c>
    </row>
    <row r="17" spans="1:29" ht="16" customHeight="1">
      <c r="A17" s="2">
        <v>16</v>
      </c>
      <c r="B17" s="4">
        <f t="shared" si="0"/>
        <v>4055</v>
      </c>
      <c r="C17" s="2" t="s">
        <v>171</v>
      </c>
      <c r="D17" s="2" t="s">
        <v>640</v>
      </c>
      <c r="E17" s="2">
        <f t="shared" si="1"/>
        <v>27.5</v>
      </c>
      <c r="F17" s="2">
        <v>0</v>
      </c>
      <c r="G17" s="2">
        <v>71</v>
      </c>
      <c r="H17" s="2">
        <v>1</v>
      </c>
      <c r="I17" s="2">
        <v>2</v>
      </c>
      <c r="J17" s="2">
        <v>7</v>
      </c>
      <c r="K17" s="2" t="s">
        <v>61</v>
      </c>
      <c r="L17" s="2" t="s">
        <v>32</v>
      </c>
      <c r="M17" s="2" t="s">
        <v>643</v>
      </c>
      <c r="N17" s="2" t="s">
        <v>585</v>
      </c>
      <c r="O17" s="2" t="s">
        <v>35</v>
      </c>
      <c r="P17" s="2" t="s">
        <v>36</v>
      </c>
    </row>
    <row r="18" spans="1:29" ht="16" customHeight="1">
      <c r="A18" s="2">
        <v>17</v>
      </c>
      <c r="B18" s="4">
        <v>4057</v>
      </c>
      <c r="C18" s="2" t="s">
        <v>171</v>
      </c>
      <c r="D18" s="2" t="s">
        <v>640</v>
      </c>
      <c r="E18" s="2">
        <f t="shared" si="1"/>
        <v>29.5</v>
      </c>
      <c r="F18" s="2">
        <v>0</v>
      </c>
      <c r="G18" s="2">
        <v>71</v>
      </c>
      <c r="H18" s="2">
        <v>1</v>
      </c>
      <c r="I18" s="2">
        <v>2</v>
      </c>
      <c r="J18" s="2">
        <v>7</v>
      </c>
      <c r="K18" s="2" t="s">
        <v>92</v>
      </c>
      <c r="L18" s="2" t="s">
        <v>32</v>
      </c>
      <c r="M18" s="2"/>
      <c r="N18" s="2" t="s">
        <v>585</v>
      </c>
      <c r="O18" s="2" t="s">
        <v>35</v>
      </c>
      <c r="P18" s="2" t="s">
        <v>36</v>
      </c>
      <c r="Q18" s="5">
        <v>46161.903043981481</v>
      </c>
      <c r="R18" t="s">
        <v>644</v>
      </c>
      <c r="S18" s="6">
        <v>46161</v>
      </c>
      <c r="T18" t="s">
        <v>645</v>
      </c>
      <c r="U18" t="s">
        <v>646</v>
      </c>
      <c r="V18" t="b">
        <v>1</v>
      </c>
      <c r="W18" t="s">
        <v>40</v>
      </c>
      <c r="X18">
        <v>72</v>
      </c>
      <c r="Y18">
        <v>8000</v>
      </c>
      <c r="Z18">
        <v>0.39987499999999998</v>
      </c>
      <c r="AA18" t="s">
        <v>41</v>
      </c>
      <c r="AB18" t="s">
        <v>42</v>
      </c>
      <c r="AC18" t="s">
        <v>43</v>
      </c>
    </row>
    <row r="19" spans="1:29" ht="15" customHeight="1">
      <c r="A19" s="2">
        <v>18</v>
      </c>
      <c r="B19" s="2">
        <v>4058</v>
      </c>
      <c r="C19" s="2" t="s">
        <v>171</v>
      </c>
      <c r="D19" s="2" t="s">
        <v>640</v>
      </c>
      <c r="E19" s="2">
        <f t="shared" si="1"/>
        <v>31.5</v>
      </c>
      <c r="F19" s="2">
        <v>0</v>
      </c>
      <c r="G19" s="2">
        <v>71</v>
      </c>
      <c r="H19" s="2">
        <v>1</v>
      </c>
      <c r="I19" s="2">
        <v>2</v>
      </c>
      <c r="J19" s="2">
        <v>8</v>
      </c>
      <c r="K19" s="2" t="s">
        <v>50</v>
      </c>
      <c r="L19" s="2" t="s">
        <v>32</v>
      </c>
      <c r="M19" s="2"/>
      <c r="N19" s="2" t="s">
        <v>585</v>
      </c>
      <c r="O19" s="2" t="s">
        <v>35</v>
      </c>
      <c r="P19" s="2" t="s">
        <v>36</v>
      </c>
      <c r="Q19" s="5">
        <v>46161.904432870368</v>
      </c>
      <c r="R19" t="s">
        <v>647</v>
      </c>
      <c r="S19" s="6">
        <v>46161</v>
      </c>
      <c r="T19" t="s">
        <v>645</v>
      </c>
      <c r="U19" t="s">
        <v>648</v>
      </c>
      <c r="V19" t="b">
        <v>1</v>
      </c>
      <c r="W19" t="s">
        <v>40</v>
      </c>
      <c r="X19">
        <v>72</v>
      </c>
      <c r="Y19">
        <v>8000</v>
      </c>
      <c r="Z19">
        <v>0.39987499999999998</v>
      </c>
      <c r="AA19" t="s">
        <v>41</v>
      </c>
      <c r="AB19" t="s">
        <v>42</v>
      </c>
      <c r="AC19" t="s">
        <v>43</v>
      </c>
    </row>
    <row r="20" spans="1:29" ht="15" customHeight="1">
      <c r="A20" s="2">
        <v>19</v>
      </c>
      <c r="B20" s="2">
        <v>4059</v>
      </c>
      <c r="C20" s="2" t="s">
        <v>171</v>
      </c>
      <c r="D20" s="2" t="s">
        <v>640</v>
      </c>
      <c r="E20" s="2">
        <f t="shared" si="1"/>
        <v>33.5</v>
      </c>
      <c r="F20" s="2">
        <v>0</v>
      </c>
      <c r="G20" s="2">
        <v>71</v>
      </c>
      <c r="H20" s="2">
        <v>1</v>
      </c>
      <c r="I20" s="2">
        <v>2</v>
      </c>
      <c r="J20" s="2">
        <v>7</v>
      </c>
      <c r="K20" s="2" t="s">
        <v>68</v>
      </c>
      <c r="L20" s="2" t="s">
        <v>32</v>
      </c>
      <c r="M20" s="2"/>
      <c r="N20" s="2" t="s">
        <v>585</v>
      </c>
      <c r="O20" s="2" t="s">
        <v>35</v>
      </c>
      <c r="P20" s="2" t="s">
        <v>36</v>
      </c>
      <c r="Q20" s="5">
        <v>46161.905833333331</v>
      </c>
      <c r="R20" t="s">
        <v>649</v>
      </c>
      <c r="S20" s="6">
        <v>46161</v>
      </c>
      <c r="T20" t="s">
        <v>645</v>
      </c>
      <c r="U20" t="s">
        <v>650</v>
      </c>
      <c r="V20" t="b">
        <v>1</v>
      </c>
      <c r="W20" t="s">
        <v>40</v>
      </c>
      <c r="X20">
        <v>72</v>
      </c>
      <c r="Y20">
        <v>8000</v>
      </c>
      <c r="Z20">
        <v>0.39987499999999998</v>
      </c>
      <c r="AA20" t="s">
        <v>41</v>
      </c>
      <c r="AB20" t="s">
        <v>42</v>
      </c>
      <c r="AC20" t="s">
        <v>43</v>
      </c>
    </row>
    <row r="21" spans="1:29" ht="15" customHeight="1">
      <c r="A21" s="2">
        <v>20</v>
      </c>
      <c r="B21" s="2">
        <v>4060</v>
      </c>
      <c r="C21" s="2" t="s">
        <v>171</v>
      </c>
      <c r="D21" s="2" t="s">
        <v>640</v>
      </c>
      <c r="E21" s="2">
        <f t="shared" si="1"/>
        <v>35.5</v>
      </c>
      <c r="F21" s="2">
        <v>0</v>
      </c>
      <c r="G21" s="2">
        <v>71</v>
      </c>
      <c r="H21" s="2">
        <v>1</v>
      </c>
      <c r="I21" s="2">
        <v>2</v>
      </c>
      <c r="J21" s="2">
        <v>7</v>
      </c>
      <c r="K21" s="2" t="s">
        <v>61</v>
      </c>
      <c r="L21" s="2" t="s">
        <v>32</v>
      </c>
      <c r="M21" s="2"/>
      <c r="N21" s="2" t="s">
        <v>585</v>
      </c>
      <c r="O21" s="2" t="s">
        <v>35</v>
      </c>
      <c r="P21" s="2" t="s">
        <v>36</v>
      </c>
      <c r="Q21" s="5">
        <v>46161.907361111109</v>
      </c>
      <c r="R21" t="s">
        <v>651</v>
      </c>
      <c r="S21" s="6">
        <v>46161</v>
      </c>
      <c r="T21" t="s">
        <v>645</v>
      </c>
      <c r="U21" t="s">
        <v>652</v>
      </c>
      <c r="V21" t="b">
        <v>1</v>
      </c>
      <c r="W21" t="s">
        <v>40</v>
      </c>
      <c r="X21">
        <v>72</v>
      </c>
      <c r="Y21">
        <v>8000</v>
      </c>
      <c r="Z21">
        <v>0.39987499999999998</v>
      </c>
      <c r="AA21" t="s">
        <v>41</v>
      </c>
      <c r="AB21" t="s">
        <v>42</v>
      </c>
      <c r="AC21" t="s">
        <v>43</v>
      </c>
    </row>
    <row r="22" spans="1:29" ht="15" customHeight="1">
      <c r="A22" s="2">
        <v>21</v>
      </c>
      <c r="B22" s="2">
        <v>4061</v>
      </c>
      <c r="C22" s="2" t="s">
        <v>171</v>
      </c>
      <c r="D22" s="2" t="s">
        <v>640</v>
      </c>
      <c r="E22" s="2">
        <f t="shared" si="1"/>
        <v>37.5</v>
      </c>
      <c r="F22" s="2">
        <v>0</v>
      </c>
      <c r="G22" s="2">
        <v>71</v>
      </c>
      <c r="H22" s="2">
        <v>1</v>
      </c>
      <c r="I22" s="2">
        <v>2</v>
      </c>
      <c r="J22" s="2">
        <v>7</v>
      </c>
      <c r="K22" s="2" t="s">
        <v>92</v>
      </c>
      <c r="L22" s="2" t="s">
        <v>32</v>
      </c>
      <c r="M22" s="2"/>
      <c r="N22" s="2" t="s">
        <v>585</v>
      </c>
      <c r="O22" s="2" t="s">
        <v>35</v>
      </c>
      <c r="P22" s="2" t="s">
        <v>36</v>
      </c>
      <c r="Q22" s="5">
        <v>46161.908796296288</v>
      </c>
      <c r="R22" t="s">
        <v>653</v>
      </c>
      <c r="S22" s="6">
        <v>46161</v>
      </c>
      <c r="T22" t="s">
        <v>645</v>
      </c>
      <c r="U22" t="s">
        <v>654</v>
      </c>
      <c r="V22" t="b">
        <v>1</v>
      </c>
      <c r="W22" t="s">
        <v>40</v>
      </c>
      <c r="X22">
        <v>72</v>
      </c>
      <c r="Y22">
        <v>8000</v>
      </c>
      <c r="Z22">
        <v>0.39987499999999998</v>
      </c>
      <c r="AA22" t="s">
        <v>41</v>
      </c>
      <c r="AB22" t="s">
        <v>42</v>
      </c>
      <c r="AC22" t="s">
        <v>43</v>
      </c>
    </row>
    <row r="23" spans="1:29" ht="15" customHeight="1">
      <c r="A23" s="2">
        <v>22</v>
      </c>
      <c r="B23" s="2">
        <v>4062</v>
      </c>
      <c r="C23" s="2" t="s">
        <v>171</v>
      </c>
      <c r="D23" s="2" t="s">
        <v>640</v>
      </c>
      <c r="E23" s="2">
        <f t="shared" si="1"/>
        <v>39.5</v>
      </c>
      <c r="F23" s="2">
        <v>0</v>
      </c>
      <c r="G23" s="2">
        <v>71</v>
      </c>
      <c r="H23" s="2">
        <v>1</v>
      </c>
      <c r="I23" s="2">
        <v>2</v>
      </c>
      <c r="J23" s="2">
        <v>7</v>
      </c>
      <c r="K23" s="2" t="s">
        <v>50</v>
      </c>
      <c r="L23" s="2" t="s">
        <v>32</v>
      </c>
      <c r="M23" s="2"/>
      <c r="N23" s="2" t="s">
        <v>585</v>
      </c>
      <c r="O23" s="2" t="s">
        <v>35</v>
      </c>
      <c r="P23" s="2" t="s">
        <v>36</v>
      </c>
      <c r="Q23" s="5">
        <v>46161.910520833328</v>
      </c>
      <c r="R23" t="s">
        <v>655</v>
      </c>
      <c r="S23" s="6">
        <v>46161</v>
      </c>
      <c r="T23" t="s">
        <v>645</v>
      </c>
      <c r="U23" t="s">
        <v>656</v>
      </c>
      <c r="V23" t="b">
        <v>1</v>
      </c>
      <c r="W23" t="s">
        <v>40</v>
      </c>
      <c r="X23">
        <v>72</v>
      </c>
      <c r="Y23">
        <v>8000</v>
      </c>
      <c r="Z23">
        <v>0.39987499999999998</v>
      </c>
      <c r="AA23" t="s">
        <v>41</v>
      </c>
      <c r="AB23" t="s">
        <v>42</v>
      </c>
      <c r="AC23" t="s">
        <v>43</v>
      </c>
    </row>
    <row r="24" spans="1:29" ht="15" customHeight="1">
      <c r="A24" s="2">
        <v>23</v>
      </c>
      <c r="B24" s="2">
        <v>4063</v>
      </c>
      <c r="C24" s="2" t="s">
        <v>171</v>
      </c>
      <c r="D24" s="2" t="s">
        <v>640</v>
      </c>
      <c r="E24" s="2">
        <f t="shared" si="1"/>
        <v>41.5</v>
      </c>
      <c r="F24" s="2">
        <v>0</v>
      </c>
      <c r="G24" s="2">
        <v>71</v>
      </c>
      <c r="H24" s="2">
        <v>1</v>
      </c>
      <c r="I24" s="2">
        <v>2</v>
      </c>
      <c r="J24" s="2">
        <v>7</v>
      </c>
      <c r="K24" s="2" t="s">
        <v>68</v>
      </c>
      <c r="L24" s="2" t="s">
        <v>32</v>
      </c>
      <c r="M24" s="2"/>
      <c r="N24" s="2" t="s">
        <v>585</v>
      </c>
      <c r="O24" s="2" t="s">
        <v>35</v>
      </c>
      <c r="P24" s="2" t="s">
        <v>36</v>
      </c>
      <c r="Q24" s="5">
        <v>46161.912037037036</v>
      </c>
      <c r="R24" t="s">
        <v>657</v>
      </c>
      <c r="S24" s="6">
        <v>46161</v>
      </c>
      <c r="T24" t="s">
        <v>645</v>
      </c>
      <c r="U24" t="s">
        <v>658</v>
      </c>
      <c r="V24" t="b">
        <v>1</v>
      </c>
      <c r="W24" t="s">
        <v>40</v>
      </c>
      <c r="X24">
        <v>72</v>
      </c>
      <c r="Y24">
        <v>8000</v>
      </c>
      <c r="Z24">
        <v>0.39987499999999998</v>
      </c>
      <c r="AA24" t="s">
        <v>41</v>
      </c>
      <c r="AB24" t="s">
        <v>42</v>
      </c>
      <c r="AC24" t="s">
        <v>43</v>
      </c>
    </row>
    <row r="25" spans="1:29" ht="15" customHeight="1">
      <c r="A25" s="2">
        <v>24</v>
      </c>
      <c r="B25" s="2">
        <v>4064</v>
      </c>
      <c r="C25" s="2" t="s">
        <v>171</v>
      </c>
      <c r="D25" s="2" t="s">
        <v>640</v>
      </c>
      <c r="E25" s="2">
        <f t="shared" si="1"/>
        <v>43.5</v>
      </c>
      <c r="F25" s="2">
        <v>0</v>
      </c>
      <c r="G25" s="2">
        <v>71</v>
      </c>
      <c r="H25" s="2">
        <v>1</v>
      </c>
      <c r="I25" s="2">
        <v>2</v>
      </c>
      <c r="J25" s="2">
        <v>7</v>
      </c>
      <c r="K25" s="2" t="s">
        <v>61</v>
      </c>
      <c r="L25" s="2" t="s">
        <v>32</v>
      </c>
      <c r="M25" s="2"/>
      <c r="N25" s="2" t="s">
        <v>585</v>
      </c>
      <c r="O25" s="2" t="s">
        <v>35</v>
      </c>
      <c r="P25" s="2" t="s">
        <v>36</v>
      </c>
      <c r="Q25" s="5">
        <v>46161.915324074071</v>
      </c>
      <c r="R25" t="s">
        <v>659</v>
      </c>
      <c r="S25" s="6">
        <v>46161</v>
      </c>
      <c r="T25" t="s">
        <v>645</v>
      </c>
      <c r="U25" t="s">
        <v>660</v>
      </c>
      <c r="V25" t="b">
        <v>1</v>
      </c>
      <c r="W25" t="s">
        <v>40</v>
      </c>
      <c r="X25">
        <v>72</v>
      </c>
      <c r="Y25">
        <v>8000</v>
      </c>
      <c r="Z25">
        <v>0.39987499999999998</v>
      </c>
      <c r="AA25" t="s">
        <v>41</v>
      </c>
      <c r="AB25" t="s">
        <v>42</v>
      </c>
      <c r="AC25" t="s">
        <v>43</v>
      </c>
    </row>
    <row r="26" spans="1:29" ht="15" customHeight="1">
      <c r="A26" s="2">
        <v>25</v>
      </c>
      <c r="B26" s="2">
        <v>4065</v>
      </c>
      <c r="C26" s="2" t="s">
        <v>171</v>
      </c>
      <c r="D26" s="2" t="s">
        <v>640</v>
      </c>
      <c r="E26" s="2">
        <f t="shared" si="1"/>
        <v>45.5</v>
      </c>
      <c r="F26" s="2">
        <v>0</v>
      </c>
      <c r="G26" s="2">
        <v>71</v>
      </c>
      <c r="H26" s="2">
        <v>1</v>
      </c>
      <c r="I26" s="2">
        <v>2</v>
      </c>
      <c r="J26" s="2">
        <v>6</v>
      </c>
      <c r="K26" s="2" t="s">
        <v>47</v>
      </c>
      <c r="L26" s="2" t="s">
        <v>32</v>
      </c>
      <c r="M26" s="2"/>
      <c r="N26" s="2" t="s">
        <v>585</v>
      </c>
      <c r="O26" s="2" t="s">
        <v>35</v>
      </c>
      <c r="P26" s="2" t="s">
        <v>36</v>
      </c>
      <c r="Q26" s="5">
        <v>46161.917442129627</v>
      </c>
      <c r="R26" t="s">
        <v>661</v>
      </c>
      <c r="S26" s="6">
        <v>46161</v>
      </c>
      <c r="T26" t="s">
        <v>645</v>
      </c>
      <c r="U26" t="s">
        <v>662</v>
      </c>
      <c r="V26" t="b">
        <v>1</v>
      </c>
      <c r="W26" t="s">
        <v>40</v>
      </c>
      <c r="X26">
        <v>72</v>
      </c>
      <c r="Y26">
        <v>8000</v>
      </c>
      <c r="Z26">
        <v>0.39987499999999998</v>
      </c>
      <c r="AA26" t="s">
        <v>41</v>
      </c>
      <c r="AB26" t="s">
        <v>42</v>
      </c>
      <c r="AC26" t="s">
        <v>43</v>
      </c>
    </row>
    <row r="27" spans="1:29" ht="15" customHeight="1">
      <c r="A27" s="2">
        <v>26</v>
      </c>
      <c r="B27" s="2">
        <v>4066</v>
      </c>
      <c r="C27" s="2" t="s">
        <v>171</v>
      </c>
      <c r="D27" s="2" t="s">
        <v>640</v>
      </c>
      <c r="E27" s="2">
        <f t="shared" si="1"/>
        <v>47.5</v>
      </c>
      <c r="F27" s="2">
        <v>0</v>
      </c>
      <c r="G27" s="2">
        <v>71</v>
      </c>
      <c r="H27" s="2">
        <v>1</v>
      </c>
      <c r="I27" s="2">
        <v>2</v>
      </c>
      <c r="J27" s="2">
        <v>6</v>
      </c>
      <c r="K27" s="2" t="s">
        <v>92</v>
      </c>
      <c r="L27" s="2" t="s">
        <v>32</v>
      </c>
      <c r="M27" s="2"/>
      <c r="N27" s="2" t="s">
        <v>585</v>
      </c>
      <c r="O27" s="2" t="s">
        <v>35</v>
      </c>
      <c r="P27" s="2" t="s">
        <v>36</v>
      </c>
      <c r="Q27" s="5">
        <v>46161.918495370373</v>
      </c>
      <c r="R27" t="s">
        <v>663</v>
      </c>
      <c r="S27" s="6">
        <v>46161</v>
      </c>
      <c r="T27" t="s">
        <v>645</v>
      </c>
      <c r="U27" t="s">
        <v>664</v>
      </c>
      <c r="V27" t="b">
        <v>1</v>
      </c>
      <c r="W27" t="s">
        <v>40</v>
      </c>
      <c r="X27">
        <v>72</v>
      </c>
      <c r="Y27">
        <v>8000</v>
      </c>
      <c r="Z27">
        <v>0.39987499999999998</v>
      </c>
      <c r="AA27" t="s">
        <v>41</v>
      </c>
      <c r="AB27" t="s">
        <v>42</v>
      </c>
      <c r="AC27" t="s">
        <v>43</v>
      </c>
    </row>
    <row r="28" spans="1:29" ht="15" customHeight="1">
      <c r="A28" s="2">
        <v>27</v>
      </c>
      <c r="B28" s="2">
        <v>4067</v>
      </c>
      <c r="C28" s="2" t="s">
        <v>171</v>
      </c>
      <c r="D28" s="2" t="s">
        <v>640</v>
      </c>
      <c r="E28" s="2">
        <f t="shared" si="1"/>
        <v>49.5</v>
      </c>
      <c r="F28" s="2">
        <v>0</v>
      </c>
      <c r="G28" s="2">
        <v>71</v>
      </c>
      <c r="H28" s="2">
        <v>1</v>
      </c>
      <c r="I28" s="2">
        <v>2</v>
      </c>
      <c r="J28" s="2">
        <v>6</v>
      </c>
      <c r="K28" s="2" t="s">
        <v>47</v>
      </c>
      <c r="L28" s="2" t="s">
        <v>32</v>
      </c>
      <c r="M28" s="2"/>
      <c r="N28" s="2" t="s">
        <v>585</v>
      </c>
      <c r="O28" s="2" t="s">
        <v>35</v>
      </c>
      <c r="P28" s="2" t="s">
        <v>36</v>
      </c>
      <c r="Q28" s="5">
        <v>46161.919490740736</v>
      </c>
      <c r="R28" t="s">
        <v>665</v>
      </c>
      <c r="S28" s="6">
        <v>46161</v>
      </c>
      <c r="T28" t="s">
        <v>645</v>
      </c>
      <c r="U28" t="s">
        <v>666</v>
      </c>
      <c r="V28" t="b">
        <v>1</v>
      </c>
      <c r="W28" t="s">
        <v>40</v>
      </c>
      <c r="X28">
        <v>72</v>
      </c>
      <c r="Y28">
        <v>8000</v>
      </c>
      <c r="Z28">
        <v>0.39987499999999998</v>
      </c>
      <c r="AA28" t="s">
        <v>41</v>
      </c>
      <c r="AB28" t="s">
        <v>42</v>
      </c>
      <c r="AC28" t="s">
        <v>43</v>
      </c>
    </row>
    <row r="29" spans="1:29" ht="15" customHeight="1">
      <c r="A29" s="2">
        <v>28</v>
      </c>
      <c r="B29" s="2">
        <v>4068</v>
      </c>
      <c r="C29" s="2" t="s">
        <v>171</v>
      </c>
      <c r="D29" s="2" t="s">
        <v>640</v>
      </c>
      <c r="E29" s="2">
        <f t="shared" si="1"/>
        <v>51.5</v>
      </c>
      <c r="F29" s="2">
        <v>0</v>
      </c>
      <c r="G29" s="2">
        <v>71</v>
      </c>
      <c r="H29" s="2">
        <v>1</v>
      </c>
      <c r="I29" s="2">
        <v>2</v>
      </c>
      <c r="J29" s="2">
        <v>5</v>
      </c>
      <c r="K29" s="2" t="s">
        <v>92</v>
      </c>
      <c r="L29" s="2" t="s">
        <v>32</v>
      </c>
      <c r="M29" s="2"/>
      <c r="N29" s="2" t="s">
        <v>585</v>
      </c>
      <c r="O29" s="2" t="s">
        <v>35</v>
      </c>
      <c r="P29" s="2" t="s">
        <v>36</v>
      </c>
      <c r="Q29" s="5">
        <v>46161.920567129629</v>
      </c>
      <c r="R29" t="s">
        <v>667</v>
      </c>
      <c r="S29" s="6">
        <v>46161</v>
      </c>
      <c r="T29" t="s">
        <v>645</v>
      </c>
      <c r="U29" t="s">
        <v>668</v>
      </c>
      <c r="V29" t="b">
        <v>1</v>
      </c>
      <c r="W29" t="s">
        <v>40</v>
      </c>
      <c r="X29">
        <v>72</v>
      </c>
      <c r="Y29">
        <v>8000</v>
      </c>
      <c r="Z29">
        <v>0.39987499999999998</v>
      </c>
      <c r="AA29" t="s">
        <v>41</v>
      </c>
      <c r="AB29" t="s">
        <v>42</v>
      </c>
      <c r="AC29" t="s">
        <v>43</v>
      </c>
    </row>
    <row r="30" spans="1:29" ht="16" customHeight="1">
      <c r="A30" s="2">
        <v>29</v>
      </c>
      <c r="B30" s="2">
        <v>4069</v>
      </c>
      <c r="C30" s="2" t="s">
        <v>171</v>
      </c>
      <c r="D30" s="2" t="s">
        <v>640</v>
      </c>
      <c r="E30" s="4">
        <f t="shared" si="1"/>
        <v>53.5</v>
      </c>
      <c r="F30" s="2">
        <v>0</v>
      </c>
      <c r="G30" s="2">
        <v>71</v>
      </c>
      <c r="H30" s="2">
        <v>1</v>
      </c>
      <c r="I30" s="4">
        <v>2</v>
      </c>
      <c r="J30" s="2">
        <v>6</v>
      </c>
      <c r="K30" s="2" t="s">
        <v>47</v>
      </c>
      <c r="L30" s="2" t="s">
        <v>32</v>
      </c>
      <c r="M30" s="2"/>
      <c r="N30" s="2" t="s">
        <v>588</v>
      </c>
      <c r="O30" s="2" t="s">
        <v>35</v>
      </c>
      <c r="P30" s="2" t="s">
        <v>36</v>
      </c>
      <c r="Q30" s="5">
        <v>46161.921747685177</v>
      </c>
      <c r="R30" t="s">
        <v>669</v>
      </c>
      <c r="S30" s="6">
        <v>46161</v>
      </c>
      <c r="T30" t="s">
        <v>645</v>
      </c>
      <c r="U30" t="s">
        <v>670</v>
      </c>
      <c r="V30" t="b">
        <v>1</v>
      </c>
      <c r="W30" t="s">
        <v>40</v>
      </c>
      <c r="X30">
        <v>72</v>
      </c>
      <c r="Y30">
        <v>8000</v>
      </c>
      <c r="Z30">
        <v>0.39987499999999998</v>
      </c>
      <c r="AA30" t="s">
        <v>41</v>
      </c>
      <c r="AB30" t="s">
        <v>42</v>
      </c>
      <c r="AC30" t="s">
        <v>43</v>
      </c>
    </row>
    <row r="31" spans="1:29" ht="16" customHeight="1">
      <c r="A31" s="2">
        <v>30</v>
      </c>
      <c r="B31" s="2">
        <v>4070</v>
      </c>
      <c r="C31" s="2" t="s">
        <v>171</v>
      </c>
      <c r="D31" s="2" t="s">
        <v>640</v>
      </c>
      <c r="E31" s="4">
        <v>71.5</v>
      </c>
      <c r="F31" s="2">
        <v>0</v>
      </c>
      <c r="G31" s="2">
        <v>71</v>
      </c>
      <c r="H31" s="2">
        <v>1</v>
      </c>
      <c r="I31" s="4">
        <v>2</v>
      </c>
      <c r="J31" s="2">
        <v>7</v>
      </c>
      <c r="K31" s="2" t="s">
        <v>68</v>
      </c>
      <c r="L31" s="2" t="s">
        <v>32</v>
      </c>
      <c r="M31" s="4" t="s">
        <v>671</v>
      </c>
      <c r="N31" s="2" t="s">
        <v>588</v>
      </c>
      <c r="O31" s="2" t="s">
        <v>35</v>
      </c>
      <c r="P31" s="2" t="s">
        <v>36</v>
      </c>
      <c r="Q31" s="5">
        <v>46161.923391203702</v>
      </c>
      <c r="R31" t="s">
        <v>672</v>
      </c>
      <c r="S31" s="6">
        <v>46161</v>
      </c>
      <c r="T31" t="s">
        <v>645</v>
      </c>
      <c r="U31" t="s">
        <v>673</v>
      </c>
      <c r="V31" t="b">
        <v>1</v>
      </c>
      <c r="W31" t="s">
        <v>40</v>
      </c>
      <c r="X31">
        <v>72</v>
      </c>
      <c r="Y31">
        <v>8000</v>
      </c>
      <c r="Z31">
        <v>0.39987499999999998</v>
      </c>
      <c r="AA31" t="s">
        <v>41</v>
      </c>
      <c r="AB31" t="s">
        <v>42</v>
      </c>
      <c r="AC31" t="s">
        <v>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selection activeCell="D31" sqref="D31"/>
    </sheetView>
  </sheetViews>
  <sheetFormatPr baseColWidth="10" defaultColWidth="8.83203125" defaultRowHeight="14"/>
  <cols>
    <col min="1" max="1" width="14" customWidth="1"/>
    <col min="2" max="2" width="22" customWidth="1"/>
    <col min="3" max="3" width="18" customWidth="1"/>
    <col min="4" max="5" width="70" customWidth="1"/>
    <col min="6" max="6" width="12" customWidth="1"/>
  </cols>
  <sheetData>
    <row r="1" spans="1:6" ht="16" customHeight="1">
      <c r="A1" s="1" t="s">
        <v>674</v>
      </c>
      <c r="B1" s="1" t="s">
        <v>675</v>
      </c>
      <c r="C1" s="1" t="s">
        <v>676</v>
      </c>
      <c r="D1" s="1" t="s">
        <v>161</v>
      </c>
      <c r="E1" s="1" t="s">
        <v>677</v>
      </c>
      <c r="F1" s="1" t="s">
        <v>678</v>
      </c>
    </row>
    <row r="2" spans="1:6" ht="30" customHeight="1">
      <c r="A2" s="2" t="s">
        <v>679</v>
      </c>
      <c r="B2" s="2" t="s">
        <v>680</v>
      </c>
      <c r="C2" s="2" t="s">
        <v>681</v>
      </c>
      <c r="D2" s="2" t="s">
        <v>682</v>
      </c>
      <c r="E2" s="2" t="s">
        <v>683</v>
      </c>
      <c r="F2" s="2" t="s">
        <v>35</v>
      </c>
    </row>
    <row r="3" spans="1:6" ht="15" customHeight="1">
      <c r="A3" s="2" t="s">
        <v>684</v>
      </c>
      <c r="B3" s="2" t="s">
        <v>680</v>
      </c>
      <c r="C3" s="2" t="s">
        <v>685</v>
      </c>
      <c r="D3" s="2" t="s">
        <v>686</v>
      </c>
      <c r="E3" s="2" t="s">
        <v>687</v>
      </c>
      <c r="F3" s="2" t="s">
        <v>142</v>
      </c>
    </row>
    <row r="4" spans="1:6" ht="15" customHeight="1">
      <c r="A4" s="2" t="s">
        <v>688</v>
      </c>
      <c r="B4" s="2" t="s">
        <v>689</v>
      </c>
      <c r="C4" s="2" t="s">
        <v>690</v>
      </c>
      <c r="D4" s="2" t="s">
        <v>691</v>
      </c>
      <c r="E4" s="2" t="s">
        <v>692</v>
      </c>
      <c r="F4" s="2" t="s">
        <v>142</v>
      </c>
    </row>
    <row r="5" spans="1:6" ht="30" customHeight="1">
      <c r="A5" s="2" t="s">
        <v>693</v>
      </c>
      <c r="B5" s="2" t="s">
        <v>726</v>
      </c>
      <c r="C5" s="2" t="s">
        <v>694</v>
      </c>
      <c r="D5" s="2" t="s">
        <v>695</v>
      </c>
      <c r="E5" s="2" t="s">
        <v>696</v>
      </c>
      <c r="F5" s="2" t="s">
        <v>35</v>
      </c>
    </row>
    <row r="6" spans="1:6" ht="30" customHeight="1">
      <c r="A6" s="2" t="s">
        <v>697</v>
      </c>
      <c r="B6" s="2" t="s">
        <v>698</v>
      </c>
      <c r="C6" s="2" t="s">
        <v>171</v>
      </c>
      <c r="D6" s="2" t="s">
        <v>699</v>
      </c>
      <c r="E6" s="2" t="s">
        <v>700</v>
      </c>
      <c r="F6" s="2" t="s">
        <v>35</v>
      </c>
    </row>
    <row r="7" spans="1:6" ht="30" customHeight="1">
      <c r="A7" s="2" t="s">
        <v>701</v>
      </c>
      <c r="B7" s="2" t="s">
        <v>702</v>
      </c>
      <c r="C7" s="2" t="s">
        <v>703</v>
      </c>
      <c r="D7" s="2" t="s">
        <v>704</v>
      </c>
      <c r="E7" s="2" t="s">
        <v>705</v>
      </c>
      <c r="F7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>
      <selection activeCell="B22" sqref="B22"/>
    </sheetView>
  </sheetViews>
  <sheetFormatPr baseColWidth="10" defaultColWidth="8.83203125" defaultRowHeight="14"/>
  <cols>
    <col min="1" max="1" width="32" customWidth="1"/>
    <col min="2" max="2" width="120" customWidth="1"/>
  </cols>
  <sheetData>
    <row r="1" spans="1:5">
      <c r="A1" t="s">
        <v>706</v>
      </c>
      <c r="B1" t="s">
        <v>707</v>
      </c>
    </row>
    <row r="2" spans="1:5">
      <c r="A2" t="s">
        <v>708</v>
      </c>
      <c r="B2" t="s">
        <v>709</v>
      </c>
    </row>
    <row r="3" spans="1:5">
      <c r="A3" t="s">
        <v>710</v>
      </c>
      <c r="B3" t="s">
        <v>711</v>
      </c>
    </row>
    <row r="4" spans="1:5">
      <c r="A4" t="s">
        <v>712</v>
      </c>
      <c r="B4" t="s">
        <v>713</v>
      </c>
    </row>
    <row r="5" spans="1:5">
      <c r="A5" t="s">
        <v>714</v>
      </c>
      <c r="B5" t="s">
        <v>715</v>
      </c>
    </row>
    <row r="6" spans="1:5">
      <c r="A6" t="s">
        <v>716</v>
      </c>
      <c r="B6" t="s">
        <v>717</v>
      </c>
    </row>
    <row r="8" spans="1:5">
      <c r="A8" t="s">
        <v>675</v>
      </c>
      <c r="B8" t="s">
        <v>162</v>
      </c>
      <c r="C8" t="s">
        <v>42</v>
      </c>
      <c r="D8" t="s">
        <v>718</v>
      </c>
      <c r="E8" t="s">
        <v>719</v>
      </c>
    </row>
    <row r="9" spans="1:5">
      <c r="A9" t="s">
        <v>680</v>
      </c>
      <c r="B9" t="s">
        <v>720</v>
      </c>
      <c r="C9">
        <v>42</v>
      </c>
      <c r="D9">
        <v>4</v>
      </c>
      <c r="E9">
        <v>0</v>
      </c>
    </row>
    <row r="10" spans="1:5">
      <c r="A10" t="s">
        <v>689</v>
      </c>
      <c r="B10" t="s">
        <v>720</v>
      </c>
      <c r="C10">
        <v>42</v>
      </c>
      <c r="D10">
        <v>0</v>
      </c>
      <c r="E10">
        <v>0</v>
      </c>
    </row>
    <row r="11" spans="1:5">
      <c r="A11" t="s">
        <v>721</v>
      </c>
      <c r="B11" t="s">
        <v>720</v>
      </c>
      <c r="C11">
        <v>0</v>
      </c>
      <c r="D11">
        <v>0</v>
      </c>
      <c r="E11">
        <v>0</v>
      </c>
    </row>
    <row r="12" spans="1:5">
      <c r="A12" t="s">
        <v>726</v>
      </c>
      <c r="B12" t="s">
        <v>720</v>
      </c>
      <c r="C12">
        <v>87</v>
      </c>
      <c r="D12">
        <v>0</v>
      </c>
      <c r="E12">
        <v>0</v>
      </c>
    </row>
    <row r="13" spans="1:5">
      <c r="A13" t="s">
        <v>722</v>
      </c>
      <c r="B13" t="s">
        <v>720</v>
      </c>
      <c r="C13">
        <v>0</v>
      </c>
      <c r="D13">
        <v>0</v>
      </c>
      <c r="E13">
        <v>0</v>
      </c>
    </row>
    <row r="14" spans="1:5">
      <c r="A14" t="s">
        <v>723</v>
      </c>
      <c r="B14" t="s">
        <v>720</v>
      </c>
      <c r="C14">
        <v>14</v>
      </c>
      <c r="D14">
        <v>0</v>
      </c>
      <c r="E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Transect_Crosswalk</vt:lpstr>
      <vt:lpstr>Acquisition_Summary</vt:lpstr>
      <vt:lpstr>T1_1m_Refraction</vt:lpstr>
      <vt:lpstr>T1_2m_Refraction</vt:lpstr>
      <vt:lpstr>T1_Streamer_MASW</vt:lpstr>
      <vt:lpstr>T2_Streamer_MASW</vt:lpstr>
      <vt:lpstr>T3_1m_Refraction</vt:lpstr>
      <vt:lpstr>T4_1m_Refraction</vt:lpstr>
      <vt:lpstr>Review_Issues</vt:lpstr>
      <vt:lpstr>Geode_Time_Extraction_Summary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Glenn Thompson</cp:lastModifiedBy>
  <dcterms:created xsi:type="dcterms:W3CDTF">2026-05-29T23:09:04Z</dcterms:created>
  <dcterms:modified xsi:type="dcterms:W3CDTF">2026-06-16T00:10:44Z</dcterms:modified>
</cp:coreProperties>
</file>